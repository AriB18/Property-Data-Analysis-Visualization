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0d92547c4b1f2d7/Documents/Data Viz Assgn 1/"/>
    </mc:Choice>
  </mc:AlternateContent>
  <xr:revisionPtr revIDLastSave="1053" documentId="8_{48D3C5E5-5BFB-4FDB-8836-0736A348BE86}" xr6:coauthVersionLast="47" xr6:coauthVersionMax="47" xr10:uidLastSave="{C2D78E33-1D74-405A-89D1-4EF1329B754B}"/>
  <bookViews>
    <workbookView xWindow="-108" yWindow="-108" windowWidth="23256" windowHeight="12456" tabRatio="733" activeTab="1" xr2:uid="{E8F3BAAD-46B1-4096-8E11-1606D93704D7}"/>
  </bookViews>
  <sheets>
    <sheet name="dataset" sheetId="1" r:id="rId1"/>
    <sheet name="Dwelling" sheetId="8" r:id="rId2"/>
    <sheet name="Workforce" sheetId="7" r:id="rId3"/>
    <sheet name="Family" sheetId="9" r:id="rId4"/>
    <sheet name="Ownership" sheetId="6" r:id="rId5"/>
    <sheet name="Demand-Supply" sheetId="2" r:id="rId6"/>
    <sheet name="Population" sheetId="5" r:id="rId7"/>
    <sheet name="Finance" sheetId="4" r:id="rId8"/>
    <sheet name="Affordability" sheetId="3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3" l="1"/>
  <c r="D7" i="3"/>
  <c r="C8" i="3"/>
  <c r="D8" i="3"/>
  <c r="B8" i="3"/>
  <c r="B7" i="3"/>
  <c r="B3" i="4"/>
  <c r="B5" i="4"/>
  <c r="B6" i="4"/>
  <c r="B7" i="4"/>
  <c r="B8" i="4"/>
  <c r="B9" i="4"/>
  <c r="B10" i="4"/>
  <c r="B11" i="4"/>
  <c r="C6" i="4"/>
  <c r="D6" i="4"/>
  <c r="C7" i="4"/>
  <c r="D7" i="4"/>
  <c r="C8" i="4"/>
  <c r="D8" i="4"/>
  <c r="C9" i="4"/>
  <c r="D9" i="4"/>
  <c r="C10" i="4"/>
  <c r="D10" i="4"/>
  <c r="C11" i="4"/>
  <c r="D11" i="4"/>
  <c r="C5" i="4"/>
  <c r="D5" i="4"/>
  <c r="C8" i="1"/>
  <c r="C4" i="4"/>
  <c r="C3" i="4"/>
  <c r="D3" i="4"/>
  <c r="A5" i="4"/>
  <c r="A4" i="4"/>
  <c r="A3" i="4"/>
  <c r="A11" i="4"/>
  <c r="A10" i="4"/>
  <c r="A9" i="4"/>
  <c r="A8" i="4"/>
  <c r="A7" i="4"/>
  <c r="A6" i="4"/>
  <c r="C3" i="7"/>
  <c r="D3" i="7"/>
  <c r="C4" i="7"/>
  <c r="D4" i="7"/>
  <c r="C5" i="7"/>
  <c r="D5" i="7"/>
  <c r="B5" i="7"/>
  <c r="B4" i="7"/>
  <c r="B3" i="7"/>
  <c r="A5" i="7"/>
  <c r="A4" i="7"/>
  <c r="A3" i="7"/>
  <c r="C3" i="6"/>
  <c r="D3" i="6"/>
  <c r="C4" i="6"/>
  <c r="D4" i="6"/>
  <c r="C5" i="6"/>
  <c r="D5" i="6"/>
  <c r="C6" i="6"/>
  <c r="D6" i="6"/>
  <c r="C7" i="6"/>
  <c r="D7" i="6"/>
  <c r="C8" i="6"/>
  <c r="D8" i="6"/>
  <c r="B8" i="6"/>
  <c r="B7" i="6"/>
  <c r="B6" i="6"/>
  <c r="B5" i="6"/>
  <c r="B4" i="6"/>
  <c r="B3" i="6"/>
  <c r="A8" i="6"/>
  <c r="A7" i="6"/>
  <c r="A6" i="6"/>
  <c r="A5" i="6"/>
  <c r="A4" i="6"/>
  <c r="A3" i="6"/>
  <c r="D6" i="5"/>
  <c r="C7" i="5"/>
  <c r="B7" i="5"/>
  <c r="C3" i="5"/>
  <c r="D3" i="5"/>
  <c r="C4" i="5"/>
  <c r="D4" i="5"/>
  <c r="C5" i="5"/>
  <c r="D5" i="5"/>
  <c r="C6" i="5"/>
  <c r="D7" i="5"/>
  <c r="C8" i="5"/>
  <c r="D8" i="5"/>
  <c r="C9" i="5"/>
  <c r="D9" i="5"/>
  <c r="B9" i="5"/>
  <c r="B8" i="5"/>
  <c r="B6" i="5"/>
  <c r="B5" i="5"/>
  <c r="B4" i="5"/>
  <c r="B3" i="5"/>
  <c r="A9" i="5"/>
  <c r="A8" i="5"/>
  <c r="A7" i="5"/>
  <c r="A6" i="5"/>
  <c r="C4" i="9"/>
  <c r="D4" i="9"/>
  <c r="B4" i="9"/>
  <c r="A4" i="9"/>
  <c r="A5" i="5"/>
  <c r="A4" i="5"/>
  <c r="A3" i="5"/>
  <c r="C5" i="9"/>
  <c r="D5" i="9"/>
  <c r="C6" i="9"/>
  <c r="D6" i="9"/>
  <c r="C7" i="9"/>
  <c r="D7" i="9"/>
  <c r="C8" i="9"/>
  <c r="D8" i="9"/>
  <c r="B8" i="9"/>
  <c r="B7" i="9"/>
  <c r="B6" i="9"/>
  <c r="B5" i="9"/>
  <c r="A8" i="9"/>
  <c r="A7" i="9"/>
  <c r="A6" i="9"/>
  <c r="A5" i="9"/>
  <c r="C3" i="9"/>
  <c r="D3" i="9"/>
  <c r="B3" i="9"/>
  <c r="A3" i="9"/>
  <c r="A3" i="2"/>
  <c r="B3" i="2"/>
  <c r="C5" i="2"/>
  <c r="D5" i="2"/>
  <c r="B5" i="2"/>
  <c r="C4" i="2"/>
  <c r="D4" i="2"/>
  <c r="B4" i="2"/>
  <c r="C3" i="2"/>
  <c r="D3" i="2"/>
  <c r="C12" i="4" l="1"/>
  <c r="C7" i="8"/>
  <c r="D7" i="8"/>
  <c r="B7" i="8"/>
  <c r="C6" i="8"/>
  <c r="D6" i="8"/>
  <c r="B6" i="8"/>
  <c r="C5" i="8"/>
  <c r="D5" i="8"/>
  <c r="B5" i="8"/>
  <c r="C4" i="8"/>
  <c r="D4" i="8"/>
  <c r="B4" i="8"/>
  <c r="C3" i="8"/>
  <c r="D3" i="8"/>
  <c r="B3" i="8"/>
  <c r="C4" i="3" l="1"/>
  <c r="D4" i="3"/>
  <c r="B4" i="3"/>
  <c r="C3" i="3"/>
  <c r="C6" i="3" s="1"/>
  <c r="D3" i="3"/>
  <c r="D6" i="3" s="1"/>
  <c r="B3" i="3"/>
  <c r="B6" i="3" s="1"/>
  <c r="B10" i="3" l="1"/>
  <c r="B9" i="3"/>
  <c r="D5" i="3"/>
  <c r="D9" i="3"/>
  <c r="D10" i="3"/>
  <c r="C9" i="3"/>
  <c r="C10" i="3"/>
  <c r="B5" i="3"/>
  <c r="C5" i="3"/>
  <c r="B8" i="1"/>
  <c r="B4" i="4" s="1"/>
  <c r="B12" i="4" s="1"/>
  <c r="D8" i="1"/>
  <c r="D4" i="4" s="1"/>
  <c r="D12" i="4" s="1"/>
  <c r="A7" i="8"/>
  <c r="A6" i="8"/>
  <c r="A5" i="8"/>
  <c r="A4" i="8"/>
  <c r="A3" i="8"/>
  <c r="A4" i="3"/>
  <c r="A3" i="3"/>
  <c r="C6" i="2"/>
  <c r="A5" i="2"/>
  <c r="A4" i="2"/>
  <c r="B6" i="2" l="1"/>
  <c r="B7" i="2" s="1"/>
  <c r="C7" i="2"/>
  <c r="D6" i="2"/>
  <c r="D7" i="2" s="1"/>
</calcChain>
</file>

<file path=xl/sharedStrings.xml><?xml version="1.0" encoding="utf-8"?>
<sst xmlns="http://schemas.openxmlformats.org/spreadsheetml/2006/main" count="132" uniqueCount="66">
  <si>
    <t>Y2011</t>
  </si>
  <si>
    <t>Y2016</t>
  </si>
  <si>
    <t>Y2021</t>
  </si>
  <si>
    <t>Location</t>
  </si>
  <si>
    <t>Time</t>
  </si>
  <si>
    <t>MedianHousePrice</t>
  </si>
  <si>
    <t>MedianUnitPrice</t>
  </si>
  <si>
    <t>MedianPersonalWeeklyIncome</t>
  </si>
  <si>
    <t>MedianFamilyWeeklyIncome</t>
  </si>
  <si>
    <t>MedianHouseholdWeeIklyIncome</t>
  </si>
  <si>
    <t>MedianMortgageWeeklyPayment</t>
  </si>
  <si>
    <t>MedianWeeklyRent</t>
  </si>
  <si>
    <t>Population</t>
  </si>
  <si>
    <t>MedianAge</t>
  </si>
  <si>
    <t>Families</t>
  </si>
  <si>
    <t>Married(%)</t>
  </si>
  <si>
    <t>Separated+Divorced(%)</t>
  </si>
  <si>
    <t>Widowed(%)</t>
  </si>
  <si>
    <t>NeverMarried(%)</t>
  </si>
  <si>
    <t>BirthInAustralia(%)</t>
  </si>
  <si>
    <t>Worked full-time(%)</t>
  </si>
  <si>
    <t>Worked part-time(%)</t>
  </si>
  <si>
    <t>Unemployment(%)</t>
  </si>
  <si>
    <t>PeopleTravelledToWorkByPublicTransport(%)</t>
  </si>
  <si>
    <t>PeopleTravelledToWorkByCar(%)</t>
  </si>
  <si>
    <t>AverageMotorVehiclesPerDwelling</t>
  </si>
  <si>
    <t>OneParentFamily(%)</t>
  </si>
  <si>
    <t>OtherFamily(%)</t>
  </si>
  <si>
    <t>OccupiedDwellings(%)</t>
  </si>
  <si>
    <t>UnoccupiedDwelling(%)</t>
  </si>
  <si>
    <t>SeparateHouse(dwellings%)</t>
  </si>
  <si>
    <t>SemiDetached(dwellings%)</t>
  </si>
  <si>
    <t>FlatUnitApartment(dwellings%)</t>
  </si>
  <si>
    <t>0xBedroom(%)</t>
  </si>
  <si>
    <t>1xBedroom(%)</t>
  </si>
  <si>
    <t>2xBedroom(%)</t>
  </si>
  <si>
    <t>3xBedroom(%)</t>
  </si>
  <si>
    <t>4xBedroom+(%)</t>
  </si>
  <si>
    <t>AverageNumberBedroomsPerDwelling</t>
  </si>
  <si>
    <t>AverageNumberPeoplePerHousehold</t>
  </si>
  <si>
    <t>FullyOwned(%)</t>
  </si>
  <si>
    <t>OwnedWithMortgage(%)</t>
  </si>
  <si>
    <t>Rented(%)</t>
  </si>
  <si>
    <t>FamilyHouseHolds(%)</t>
  </si>
  <si>
    <t>SinglePersonHouseHolds(%)</t>
  </si>
  <si>
    <t>GroupHouseHold(%)</t>
  </si>
  <si>
    <t>LessThan$650WeeklyIncome(%)</t>
  </si>
  <si>
    <t>MoreThan$3000WeeklyIncome(%)</t>
  </si>
  <si>
    <t>HouseholdsRentPayments&lt;30%Income (%)</t>
  </si>
  <si>
    <t>HouseholdsRentPayments&gt;30%Income(%)</t>
  </si>
  <si>
    <t>HouseholdsMortgageRepayments&lt;30%Income(%)</t>
  </si>
  <si>
    <t>HouseholdsMortgageRepayments&gt;30%Income(%)</t>
  </si>
  <si>
    <t>Hassall Grove</t>
  </si>
  <si>
    <t>DEMAND</t>
  </si>
  <si>
    <t>Ratio of Supply and Demand</t>
  </si>
  <si>
    <t>TotalPrivateDwelling (TPD)</t>
  </si>
  <si>
    <t xml:space="preserve"> </t>
  </si>
  <si>
    <t>CoupleFamilyNoChildren(%)</t>
  </si>
  <si>
    <t>CoupleFamilyHasChildren(%)</t>
  </si>
  <si>
    <t>Median Houselhold Annual Income</t>
  </si>
  <si>
    <t>Median Savings</t>
  </si>
  <si>
    <t>Median Family Annual Income</t>
  </si>
  <si>
    <t>Median Personal Annual Income</t>
  </si>
  <si>
    <t>House Affordability (Household)</t>
  </si>
  <si>
    <t>House Affordability (Family)</t>
  </si>
  <si>
    <t>House Affordability (Personal)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</si>
</sst>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&quot;$&quot;#,##0"/>
    <numFmt numFmtId="165" formatCode="0.0%"/>
    <numFmt numFmtId="166" formatCode="#,##0.0"/>
  </numFmts>
  <fonts count="7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b/>
      <sz val="8"/>
      <color rgb="FF00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EC8E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FAFE7"/>
        <bgColor indexed="64"/>
      </patternFill>
    </fill>
    <fill>
      <patternFill patternType="solid">
        <fgColor rgb="FFFF9B9B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8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4" fontId="3" fillId="3" borderId="1" xfId="0" applyNumberFormat="1" applyFont="1" applyFill="1" applyBorder="1" applyAlignment="1">
      <alignment vertical="center"/>
    </xf>
    <xf numFmtId="164" fontId="3" fillId="4" borderId="1" xfId="0" applyNumberFormat="1" applyFont="1" applyFill="1" applyBorder="1" applyAlignment="1">
      <alignment vertical="center"/>
    </xf>
    <xf numFmtId="3" fontId="3" fillId="5" borderId="1" xfId="0" applyNumberFormat="1" applyFont="1" applyFill="1" applyBorder="1" applyAlignment="1">
      <alignment vertical="center"/>
    </xf>
    <xf numFmtId="165" fontId="3" fillId="2" borderId="1" xfId="0" applyNumberFormat="1" applyFont="1" applyFill="1" applyBorder="1" applyAlignment="1">
      <alignment vertical="center"/>
    </xf>
    <xf numFmtId="165" fontId="3" fillId="6" borderId="1" xfId="0" applyNumberFormat="1" applyFont="1" applyFill="1" applyBorder="1" applyAlignment="1">
      <alignment vertical="center"/>
    </xf>
    <xf numFmtId="165" fontId="3" fillId="7" borderId="1" xfId="0" applyNumberFormat="1" applyFont="1" applyFill="1" applyBorder="1" applyAlignment="1">
      <alignment vertical="center"/>
    </xf>
    <xf numFmtId="165" fontId="2" fillId="8" borderId="1" xfId="0" applyNumberFormat="1" applyFont="1" applyFill="1" applyBorder="1" applyAlignment="1">
      <alignment vertical="center"/>
    </xf>
    <xf numFmtId="165" fontId="3" fillId="9" borderId="1" xfId="0" applyNumberFormat="1" applyFont="1" applyFill="1" applyBorder="1" applyAlignment="1">
      <alignment vertical="center"/>
    </xf>
    <xf numFmtId="166" fontId="3" fillId="9" borderId="1" xfId="0" applyNumberFormat="1" applyFont="1" applyFill="1" applyBorder="1" applyAlignment="1">
      <alignment vertical="center"/>
    </xf>
    <xf numFmtId="165" fontId="2" fillId="10" borderId="1" xfId="0" applyNumberFormat="1" applyFont="1" applyFill="1" applyBorder="1" applyAlignment="1">
      <alignment vertical="center"/>
    </xf>
    <xf numFmtId="166" fontId="3" fillId="11" borderId="1" xfId="0" applyNumberFormat="1" applyFont="1" applyFill="1" applyBorder="1" applyAlignment="1">
      <alignment vertical="center"/>
    </xf>
    <xf numFmtId="165" fontId="2" fillId="12" borderId="1" xfId="0" applyNumberFormat="1" applyFont="1" applyFill="1" applyBorder="1" applyAlignment="1">
      <alignment vertical="center"/>
    </xf>
    <xf numFmtId="165" fontId="3" fillId="13" borderId="1" xfId="0" applyNumberFormat="1" applyFont="1" applyFill="1" applyBorder="1" applyAlignment="1">
      <alignment vertical="center"/>
    </xf>
    <xf numFmtId="165" fontId="3" fillId="14" borderId="1" xfId="0" applyNumberFormat="1" applyFont="1" applyFill="1" applyBorder="1" applyAlignment="1">
      <alignment vertical="center"/>
    </xf>
    <xf numFmtId="0" fontId="3" fillId="0" borderId="0" xfId="0" applyFont="1"/>
    <xf numFmtId="166" fontId="3" fillId="5" borderId="1" xfId="0" applyNumberFormat="1" applyFont="1" applyFill="1" applyBorder="1" applyAlignment="1">
      <alignment vertical="center"/>
    </xf>
    <xf numFmtId="3" fontId="3" fillId="6" borderId="1" xfId="0" applyNumberFormat="1" applyFont="1" applyFill="1" applyBorder="1" applyAlignment="1">
      <alignment vertical="center"/>
    </xf>
    <xf numFmtId="0" fontId="2" fillId="12" borderId="1" xfId="0" applyFont="1" applyFill="1" applyBorder="1"/>
    <xf numFmtId="3" fontId="3" fillId="5" borderId="0" xfId="0" applyNumberFormat="1" applyFont="1" applyFill="1" applyAlignment="1">
      <alignment vertical="center"/>
    </xf>
    <xf numFmtId="3" fontId="0" fillId="0" borderId="0" xfId="0" applyNumberFormat="1"/>
    <xf numFmtId="0" fontId="4" fillId="0" borderId="0" xfId="0" applyFont="1"/>
    <xf numFmtId="2" fontId="0" fillId="0" borderId="0" xfId="0" applyNumberFormat="1"/>
    <xf numFmtId="164" fontId="3" fillId="4" borderId="0" xfId="0" applyNumberFormat="1" applyFont="1" applyFill="1" applyAlignment="1">
      <alignment vertical="center"/>
    </xf>
    <xf numFmtId="3" fontId="3" fillId="5" borderId="3" xfId="0" applyNumberFormat="1" applyFont="1" applyFill="1" applyBorder="1" applyAlignment="1">
      <alignment vertical="center"/>
    </xf>
    <xf numFmtId="10" fontId="0" fillId="0" borderId="0" xfId="0" applyNumberFormat="1"/>
    <xf numFmtId="164" fontId="3" fillId="4" borderId="2" xfId="0" applyNumberFormat="1" applyFont="1" applyFill="1" applyBorder="1" applyAlignment="1">
      <alignment vertical="center"/>
    </xf>
    <xf numFmtId="3" fontId="3" fillId="5" borderId="2" xfId="0" applyNumberFormat="1" applyFont="1" applyFill="1" applyBorder="1" applyAlignment="1">
      <alignment vertical="center"/>
    </xf>
    <xf numFmtId="164" fontId="3" fillId="3" borderId="3" xfId="0" applyNumberFormat="1" applyFont="1" applyFill="1" applyBorder="1" applyAlignment="1">
      <alignment vertical="center"/>
    </xf>
    <xf numFmtId="10" fontId="0" fillId="2" borderId="0" xfId="0" applyNumberFormat="1" applyFill="1"/>
    <xf numFmtId="10" fontId="0" fillId="6" borderId="0" xfId="0" applyNumberFormat="1" applyFill="1"/>
    <xf numFmtId="10" fontId="0" fillId="5" borderId="0" xfId="0" applyNumberFormat="1" applyFill="1"/>
    <xf numFmtId="10" fontId="0" fillId="8" borderId="0" xfId="0" applyNumberFormat="1" applyFill="1"/>
    <xf numFmtId="10" fontId="0" fillId="9" borderId="0" xfId="0" applyNumberFormat="1" applyFill="1"/>
    <xf numFmtId="2" fontId="0" fillId="9" borderId="0" xfId="0" applyNumberFormat="1" applyFill="1"/>
    <xf numFmtId="10" fontId="0" fillId="10" borderId="0" xfId="0" applyNumberFormat="1" applyFill="1"/>
    <xf numFmtId="1" fontId="0" fillId="5" borderId="0" xfId="0" applyNumberFormat="1" applyFill="1"/>
    <xf numFmtId="164" fontId="3" fillId="4" borderId="3" xfId="0" applyNumberFormat="1" applyFont="1" applyFill="1" applyBorder="1" applyAlignment="1">
      <alignment vertical="center"/>
    </xf>
    <xf numFmtId="1" fontId="3" fillId="5" borderId="0" xfId="0" applyNumberFormat="1" applyFont="1" applyFill="1" applyAlignment="1">
      <alignment vertical="center"/>
    </xf>
    <xf numFmtId="1" fontId="3" fillId="5" borderId="2" xfId="0" applyNumberFormat="1" applyFont="1" applyFill="1" applyBorder="1" applyAlignment="1">
      <alignment vertical="center"/>
    </xf>
    <xf numFmtId="10" fontId="0" fillId="7" borderId="0" xfId="0" applyNumberFormat="1" applyFill="1" applyAlignment="1">
      <alignment vertical="center"/>
    </xf>
    <xf numFmtId="10" fontId="0" fillId="7" borderId="0" xfId="0" applyNumberFormat="1" applyFill="1"/>
    <xf numFmtId="4" fontId="3" fillId="11" borderId="1" xfId="0" applyNumberFormat="1" applyFont="1" applyFill="1" applyBorder="1" applyAlignment="1">
      <alignment vertical="center"/>
    </xf>
    <xf numFmtId="10" fontId="0" fillId="12" borderId="0" xfId="0" applyNumberFormat="1" applyFill="1"/>
    <xf numFmtId="1" fontId="0" fillId="3" borderId="0" xfId="0" applyNumberFormat="1" applyFill="1"/>
    <xf numFmtId="164" fontId="0" fillId="4" borderId="0" xfId="2" applyNumberFormat="1" applyFont="1" applyFill="1" applyAlignment="1">
      <alignment vertical="center"/>
    </xf>
    <xf numFmtId="1" fontId="0" fillId="0" borderId="0" xfId="0" applyNumberFormat="1"/>
    <xf numFmtId="164" fontId="0" fillId="3" borderId="0" xfId="2" applyNumberFormat="1" applyFont="1" applyFill="1"/>
    <xf numFmtId="164" fontId="0" fillId="3" borderId="0" xfId="0" applyNumberFormat="1" applyFill="1"/>
    <xf numFmtId="10" fontId="0" fillId="0" borderId="0" xfId="1" applyNumberFormat="1" applyFont="1"/>
    <xf numFmtId="4" fontId="0" fillId="0" borderId="0" xfId="0" applyNumberFormat="1"/>
    <xf numFmtId="0" fontId="6" fillId="0" borderId="0" xfId="0" applyFont="1" applyAlignment="1">
      <alignment horizontal="left" vertical="center"/>
    </xf>
    <xf numFmtId="10" fontId="3" fillId="12" borderId="3" xfId="0" applyNumberFormat="1" applyFont="1" applyFill="1" applyBorder="1" applyAlignment="1">
      <alignment vertical="center"/>
    </xf>
    <xf numFmtId="10" fontId="2" fillId="12" borderId="2" xfId="0" applyNumberFormat="1" applyFont="1" applyFill="1" applyBorder="1" applyAlignment="1">
      <alignment vertical="center"/>
    </xf>
    <xf numFmtId="10" fontId="2" fillId="12" borderId="3" xfId="0" applyNumberFormat="1" applyFont="1" applyFill="1" applyBorder="1" applyAlignment="1">
      <alignment vertical="center"/>
    </xf>
    <xf numFmtId="10" fontId="2" fillId="8" borderId="3" xfId="0" applyNumberFormat="1" applyFont="1" applyFill="1" applyBorder="1" applyAlignment="1">
      <alignment vertical="center"/>
    </xf>
    <xf numFmtId="10" fontId="2" fillId="8" borderId="2" xfId="0" applyNumberFormat="1" applyFont="1" applyFill="1" applyBorder="1" applyAlignment="1">
      <alignment vertical="center"/>
    </xf>
    <xf numFmtId="10" fontId="3" fillId="13" borderId="1" xfId="0" applyNumberFormat="1" applyFont="1" applyFill="1" applyBorder="1" applyAlignment="1">
      <alignment vertical="center"/>
    </xf>
    <xf numFmtId="10" fontId="3" fillId="14" borderId="3" xfId="0" applyNumberFormat="1" applyFont="1" applyFill="1" applyBorder="1" applyAlignment="1">
      <alignment vertical="center"/>
    </xf>
    <xf numFmtId="10" fontId="3" fillId="14" borderId="2" xfId="0" applyNumberFormat="1" applyFont="1" applyFill="1" applyBorder="1" applyAlignment="1">
      <alignment vertical="center"/>
    </xf>
    <xf numFmtId="10" fontId="3" fillId="2" borderId="1" xfId="0" applyNumberFormat="1" applyFont="1" applyFill="1" applyBorder="1" applyAlignment="1">
      <alignment vertical="center"/>
    </xf>
    <xf numFmtId="10" fontId="3" fillId="2" borderId="2" xfId="1" applyNumberFormat="1" applyFont="1" applyFill="1" applyBorder="1" applyAlignment="1">
      <alignment vertical="center"/>
    </xf>
    <xf numFmtId="10" fontId="3" fillId="2" borderId="2" xfId="0" applyNumberFormat="1" applyFont="1" applyFill="1" applyBorder="1" applyAlignment="1">
      <alignment vertical="center"/>
    </xf>
    <xf numFmtId="10" fontId="3" fillId="2" borderId="3" xfId="1" applyNumberFormat="1" applyFont="1" applyFill="1" applyBorder="1" applyAlignment="1">
      <alignment vertical="center"/>
    </xf>
    <xf numFmtId="10" fontId="3" fillId="2" borderId="3" xfId="0" applyNumberFormat="1" applyFont="1" applyFill="1" applyBorder="1" applyAlignment="1">
      <alignment vertical="center"/>
    </xf>
    <xf numFmtId="10" fontId="3" fillId="2" borderId="0" xfId="0" applyNumberFormat="1" applyFont="1" applyFill="1" applyAlignment="1">
      <alignment vertical="center"/>
    </xf>
    <xf numFmtId="10" fontId="3" fillId="6" borderId="3" xfId="0" applyNumberFormat="1" applyFont="1" applyFill="1" applyBorder="1" applyAlignment="1">
      <alignment vertical="center"/>
    </xf>
    <xf numFmtId="10" fontId="3" fillId="6" borderId="0" xfId="0" applyNumberFormat="1" applyFont="1" applyFill="1" applyAlignment="1">
      <alignment vertical="center"/>
    </xf>
    <xf numFmtId="10" fontId="3" fillId="7" borderId="3" xfId="0" applyNumberFormat="1" applyFont="1" applyFill="1" applyBorder="1" applyAlignment="1">
      <alignment vertical="center"/>
    </xf>
    <xf numFmtId="10" fontId="3" fillId="7" borderId="0" xfId="0" applyNumberFormat="1" applyFont="1" applyFill="1" applyAlignment="1">
      <alignment vertical="center"/>
    </xf>
    <xf numFmtId="10" fontId="3" fillId="9" borderId="3" xfId="0" applyNumberFormat="1" applyFont="1" applyFill="1" applyBorder="1" applyAlignment="1">
      <alignment vertical="center"/>
    </xf>
    <xf numFmtId="10" fontId="3" fillId="9" borderId="2" xfId="0" applyNumberFormat="1" applyFont="1" applyFill="1" applyBorder="1" applyAlignment="1">
      <alignment vertical="center"/>
    </xf>
    <xf numFmtId="10" fontId="3" fillId="5" borderId="3" xfId="0" applyNumberFormat="1" applyFont="1" applyFill="1" applyBorder="1" applyAlignment="1">
      <alignment vertical="center"/>
    </xf>
    <xf numFmtId="10" fontId="3" fillId="5" borderId="2" xfId="0" applyNumberFormat="1" applyFont="1" applyFill="1" applyBorder="1" applyAlignment="1">
      <alignment vertical="center"/>
    </xf>
    <xf numFmtId="10" fontId="3" fillId="6" borderId="2" xfId="0" applyNumberFormat="1" applyFont="1" applyFill="1" applyBorder="1" applyAlignment="1">
      <alignment vertical="center"/>
    </xf>
    <xf numFmtId="10" fontId="3" fillId="10" borderId="3" xfId="0" applyNumberFormat="1" applyFont="1" applyFill="1" applyBorder="1" applyAlignment="1">
      <alignment vertical="center"/>
    </xf>
    <xf numFmtId="10" fontId="3" fillId="10" borderId="2" xfId="0" applyNumberFormat="1" applyFont="1" applyFill="1" applyBorder="1" applyAlignment="1">
      <alignment vertical="center"/>
    </xf>
    <xf numFmtId="10" fontId="0" fillId="10" borderId="0" xfId="1" applyNumberFormat="1" applyFont="1" applyFill="1"/>
    <xf numFmtId="10" fontId="2" fillId="10" borderId="2" xfId="0" applyNumberFormat="1" applyFont="1" applyFill="1" applyBorder="1" applyAlignment="1">
      <alignment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10" fontId="1" fillId="0" borderId="0" xfId="0" applyNumberFormat="1" applyFont="1"/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9900"/>
      <color rgb="FFFF99FF"/>
      <color rgb="FFE9D4F6"/>
      <color rgb="FFFFCCFF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b="1"/>
              <a:t>Property Dwelling Chart (Hassall Grove)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strRef>
              <c:f>Dwelling!$A$5</c:f>
              <c:strCache>
                <c:ptCount val="1"/>
                <c:pt idx="0">
                  <c:v>SeparateHouse(dwellings%)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2">
                  <a:lumMod val="9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Dwelling!$B$2:$D$2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Dwelling!$B$5:$D$5</c:f>
              <c:numCache>
                <c:formatCode>0.00%</c:formatCode>
                <c:ptCount val="3"/>
                <c:pt idx="0">
                  <c:v>1</c:v>
                </c:pt>
                <c:pt idx="1">
                  <c:v>0.96599999999999997</c:v>
                </c:pt>
                <c:pt idx="2">
                  <c:v>0.95499999999999996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2F-426A-A117-72CE7F567DE3}"/>
            </c:ext>
          </c:extLst>
        </c:ser>
        <c:ser>
          <c:idx val="3"/>
          <c:order val="3"/>
          <c:tx>
            <c:strRef>
              <c:f>Dwelling!$A$6</c:f>
              <c:strCache>
                <c:ptCount val="1"/>
                <c:pt idx="0">
                  <c:v>SemiDetached(dwellings%)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72F-426A-A117-72CE7F567D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Dwelling!$B$2:$D$2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Dwelling!$B$6:$D$6</c:f>
              <c:numCache>
                <c:formatCode>0.00%</c:formatCode>
                <c:ptCount val="3"/>
                <c:pt idx="0">
                  <c:v>0</c:v>
                </c:pt>
                <c:pt idx="1">
                  <c:v>0.03</c:v>
                </c:pt>
                <c:pt idx="2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2F-426A-A117-72CE7F567DE3}"/>
            </c:ext>
          </c:extLst>
        </c:ser>
        <c:ser>
          <c:idx val="4"/>
          <c:order val="4"/>
          <c:tx>
            <c:strRef>
              <c:f>Dwelling!$A$7</c:f>
              <c:strCache>
                <c:ptCount val="1"/>
                <c:pt idx="0">
                  <c:v>FlatUnitApartment(dwellings%)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2F-426A-A117-72CE7F567DE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2F-426A-A117-72CE7F567DE3}"/>
                </c:ext>
              </c:extLst>
            </c:dLbl>
            <c:dLbl>
              <c:idx val="2"/>
              <c:layout>
                <c:manualLayout>
                  <c:x val="0"/>
                  <c:y val="-4.382114453153399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2F-426A-A117-72CE7F567D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Dwelling!$B$2:$D$2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Dwelling!$B$7:$D$7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1.2999999999999999E-2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2F-426A-A117-72CE7F567DE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1571794079"/>
        <c:axId val="1571793599"/>
      </c:barChart>
      <c:lineChart>
        <c:grouping val="stacked"/>
        <c:varyColors val="0"/>
        <c:ser>
          <c:idx val="0"/>
          <c:order val="0"/>
          <c:tx>
            <c:strRef>
              <c:f>Dwelling!$A$3</c:f>
              <c:strCache>
                <c:ptCount val="1"/>
                <c:pt idx="0">
                  <c:v>OccupiedDwellings(%)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5F-429C-A535-4B24E2B27792}"/>
                </c:ext>
              </c:extLst>
            </c:dLbl>
            <c:dLbl>
              <c:idx val="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2F-426A-A117-72CE7F567D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Dwelling!$B$2:$D$2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Dwelling!$B$3:$D$3</c:f>
              <c:numCache>
                <c:formatCode>0.00%</c:formatCode>
                <c:ptCount val="3"/>
                <c:pt idx="0">
                  <c:v>0.96900000000000008</c:v>
                </c:pt>
                <c:pt idx="1">
                  <c:v>0.9840000000000001</c:v>
                </c:pt>
                <c:pt idx="2">
                  <c:v>0.97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2F-426A-A117-72CE7F567DE3}"/>
            </c:ext>
          </c:extLst>
        </c:ser>
        <c:ser>
          <c:idx val="1"/>
          <c:order val="1"/>
          <c:tx>
            <c:strRef>
              <c:f>Dwelling!$A$4</c:f>
              <c:strCache>
                <c:ptCount val="1"/>
                <c:pt idx="0">
                  <c:v>UnoccupiedDwelling(%)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Dwelling!$B$2:$D$2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Dwelling!$B$4:$D$4</c:f>
              <c:numCache>
                <c:formatCode>0.00%</c:formatCode>
                <c:ptCount val="3"/>
                <c:pt idx="0">
                  <c:v>3.1E-2</c:v>
                </c:pt>
                <c:pt idx="1">
                  <c:v>1.6E-2</c:v>
                </c:pt>
                <c:pt idx="2">
                  <c:v>2.7999999999999997E-2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2F-426A-A117-72CE7F567DE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008735"/>
        <c:axId val="820010175"/>
      </c:lineChart>
      <c:catAx>
        <c:axId val="82000873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010175"/>
        <c:crosses val="autoZero"/>
        <c:auto val="1"/>
        <c:lblAlgn val="ctr"/>
        <c:lblOffset val="100"/>
        <c:noMultiLvlLbl val="0"/>
      </c:catAx>
      <c:valAx>
        <c:axId val="820010175"/>
        <c:scaling>
          <c:orientation val="minMax"/>
          <c:max val="1.03"/>
          <c:min val="0.9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/>
                  <a:t>Dwelling Type</a:t>
                </a:r>
                <a:r>
                  <a:rPr lang="en-AU" b="1" baseline="0"/>
                  <a:t> (%)</a:t>
                </a:r>
                <a:endParaRPr lang="en-AU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008735"/>
        <c:crosses val="autoZero"/>
        <c:crossBetween val="between"/>
      </c:valAx>
      <c:valAx>
        <c:axId val="1571793599"/>
        <c:scaling>
          <c:orientation val="minMax"/>
          <c:max val="1.2"/>
          <c:min val="0.88000000000000012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/>
                  <a:t>Dwelling Structure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1794079"/>
        <c:crosses val="max"/>
        <c:crossBetween val="between"/>
      </c:valAx>
      <c:catAx>
        <c:axId val="15717940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717935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b="1"/>
              <a:t>Workforce Chart (Hassall Grove)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Workforce!$A$3</c:f>
              <c:strCache>
                <c:ptCount val="1"/>
                <c:pt idx="0">
                  <c:v>Worked full-time(%)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Workforce!$B$2:$D$2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Workforce!$B$3:$D$3</c:f>
              <c:numCache>
                <c:formatCode>0.00%</c:formatCode>
                <c:ptCount val="3"/>
                <c:pt idx="0">
                  <c:v>0.63900000000000001</c:v>
                </c:pt>
                <c:pt idx="1">
                  <c:v>0.622</c:v>
                </c:pt>
                <c:pt idx="2">
                  <c:v>0.50800000000000001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AA-4781-B10C-FC97F6D7F57C}"/>
            </c:ext>
          </c:extLst>
        </c:ser>
        <c:ser>
          <c:idx val="1"/>
          <c:order val="1"/>
          <c:tx>
            <c:strRef>
              <c:f>Workforce!$A$4</c:f>
              <c:strCache>
                <c:ptCount val="1"/>
                <c:pt idx="0">
                  <c:v>Worked part-time(%)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Workforce!$B$2:$D$2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Workforce!$B$4:$D$4</c:f>
              <c:numCache>
                <c:formatCode>0.00%</c:formatCode>
                <c:ptCount val="3"/>
                <c:pt idx="0">
                  <c:v>0.23100000000000001</c:v>
                </c:pt>
                <c:pt idx="1">
                  <c:v>0.26300000000000001</c:v>
                </c:pt>
                <c:pt idx="2">
                  <c:v>0.29600000000000004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AA-4781-B10C-FC97F6D7F57C}"/>
            </c:ext>
          </c:extLst>
        </c:ser>
        <c:ser>
          <c:idx val="2"/>
          <c:order val="2"/>
          <c:tx>
            <c:strRef>
              <c:f>Workforce!$A$5</c:f>
              <c:strCache>
                <c:ptCount val="1"/>
                <c:pt idx="0">
                  <c:v>Unemployment(%)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Workforce!$B$2:$D$2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Workforce!$B$5:$D$5</c:f>
              <c:numCache>
                <c:formatCode>0.00%</c:formatCode>
                <c:ptCount val="3"/>
                <c:pt idx="0">
                  <c:v>7.400000000000001E-2</c:v>
                </c:pt>
                <c:pt idx="1">
                  <c:v>6.8000000000000005E-2</c:v>
                </c:pt>
                <c:pt idx="2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AA-4781-B10C-FC97F6D7F5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03300800"/>
        <c:axId val="338153424"/>
      </c:barChart>
      <c:catAx>
        <c:axId val="303300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153424"/>
        <c:crosses val="autoZero"/>
        <c:auto val="1"/>
        <c:lblAlgn val="ctr"/>
        <c:lblOffset val="100"/>
        <c:noMultiLvlLbl val="0"/>
      </c:catAx>
      <c:valAx>
        <c:axId val="338153424"/>
        <c:scaling>
          <c:orientation val="minMax"/>
          <c:max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/>
                  <a:t>Employement</a:t>
                </a:r>
                <a:r>
                  <a:rPr lang="en-AU" b="1" baseline="0"/>
                  <a:t> Type</a:t>
                </a:r>
                <a:endParaRPr lang="en-AU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300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b="1"/>
              <a:t>Family Composition (Hassall Grove)</a:t>
            </a:r>
          </a:p>
        </c:rich>
      </c:tx>
      <c:layout>
        <c:manualLayout>
          <c:xMode val="edge"/>
          <c:yMode val="edge"/>
          <c:x val="0.4345369986646406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Family!$A$5</c:f>
              <c:strCache>
                <c:ptCount val="1"/>
                <c:pt idx="0">
                  <c:v>CoupleFamilyNoChildren(%)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Family!$B$2:$D$2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Family!$B$5:$D$5</c:f>
              <c:numCache>
                <c:formatCode>0.00%</c:formatCode>
                <c:ptCount val="3"/>
                <c:pt idx="0">
                  <c:v>0.17499999999999999</c:v>
                </c:pt>
                <c:pt idx="1">
                  <c:v>0.182</c:v>
                </c:pt>
                <c:pt idx="2">
                  <c:v>0.22500000000000001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01-4E0C-9C26-035109F926F3}"/>
            </c:ext>
          </c:extLst>
        </c:ser>
        <c:ser>
          <c:idx val="3"/>
          <c:order val="3"/>
          <c:tx>
            <c:strRef>
              <c:f>Family!$A$6</c:f>
              <c:strCache>
                <c:ptCount val="1"/>
                <c:pt idx="0">
                  <c:v>CoupleFamilyHasChildren(%)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7.17041535727316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94-472D-9154-FA82AFF1D8E1}"/>
                </c:ext>
              </c:extLst>
            </c:dLbl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Family!$B$2:$D$2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Family!$B$6:$D$6</c:f>
              <c:numCache>
                <c:formatCode>0.00%</c:formatCode>
                <c:ptCount val="3"/>
                <c:pt idx="0">
                  <c:v>0.64800000000000002</c:v>
                </c:pt>
                <c:pt idx="1">
                  <c:v>0.621</c:v>
                </c:pt>
                <c:pt idx="2">
                  <c:v>0.56999999999999995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01-4E0C-9C26-035109F926F3}"/>
            </c:ext>
          </c:extLst>
        </c:ser>
        <c:ser>
          <c:idx val="4"/>
          <c:order val="4"/>
          <c:tx>
            <c:strRef>
              <c:f>Family!$A$7</c:f>
              <c:strCache>
                <c:ptCount val="1"/>
                <c:pt idx="0">
                  <c:v>OneParentFamily(%)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Family!$B$2:$D$2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Family!$B$7:$D$7</c:f>
              <c:numCache>
                <c:formatCode>0.00%</c:formatCode>
                <c:ptCount val="3"/>
                <c:pt idx="0">
                  <c:v>0.17</c:v>
                </c:pt>
                <c:pt idx="1">
                  <c:v>0.18100000000000002</c:v>
                </c:pt>
                <c:pt idx="2">
                  <c:v>0.188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01-4E0C-9C26-035109F926F3}"/>
            </c:ext>
          </c:extLst>
        </c:ser>
        <c:ser>
          <c:idx val="5"/>
          <c:order val="5"/>
          <c:tx>
            <c:strRef>
              <c:f>Family!$A$8</c:f>
              <c:strCache>
                <c:ptCount val="1"/>
                <c:pt idx="0">
                  <c:v>OtherFamily(%)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Family!$B$2:$D$2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Family!$B$8:$D$8</c:f>
              <c:numCache>
                <c:formatCode>0.00%</c:formatCode>
                <c:ptCount val="3"/>
                <c:pt idx="0">
                  <c:v>7.0000000000000001E-3</c:v>
                </c:pt>
                <c:pt idx="1">
                  <c:v>1.7000000000000001E-2</c:v>
                </c:pt>
                <c:pt idx="2">
                  <c:v>1.2E-2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01-4E0C-9C26-035109F926F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39026416"/>
        <c:axId val="639026896"/>
      </c:barChart>
      <c:lineChart>
        <c:grouping val="standar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39026416"/>
        <c:axId val="639026896"/>
        <c:extLst>
          <c:ext xmlns:c15="http://schemas.microsoft.com/office/drawing/2012/chart" uri="{02D57815-91ED-43cb-92C2-25804820EDAC}">
            <c15:filteredLine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Family!$A$9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Family!$B$2:$D$2</c15:sqref>
                        </c15:formulaRef>
                      </c:ext>
                    </c:extLst>
                    <c:strCache>
                      <c:ptCount val="3"/>
                      <c:pt idx="0">
                        <c:v>Y2011</c:v>
                      </c:pt>
                      <c:pt idx="1">
                        <c:v>Y2016</c:v>
                      </c:pt>
                      <c:pt idx="2">
                        <c:v>Y2021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Family!$B$9:$D$9</c15:sqref>
                        </c15:formulaRef>
                      </c:ext>
                    </c:extLst>
                    <c:numCache>
                      <c:formatCode>0.00%</c:formatCode>
                      <c:ptCount val="3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BA01-4E0C-9C26-035109F926F3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Family!$A$10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Family!$B$2:$D$2</c15:sqref>
                        </c15:formulaRef>
                      </c:ext>
                    </c:extLst>
                    <c:strCache>
                      <c:ptCount val="3"/>
                      <c:pt idx="0">
                        <c:v>Y2011</c:v>
                      </c:pt>
                      <c:pt idx="1">
                        <c:v>Y2016</c:v>
                      </c:pt>
                      <c:pt idx="2">
                        <c:v>Y2021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Family!$B$10:$D$10</c15:sqref>
                        </c15:formulaRef>
                      </c:ext>
                    </c:extLst>
                    <c:numCache>
                      <c:formatCode>0.00%</c:formatCode>
                      <c:ptCount val="3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A01-4E0C-9C26-035109F926F3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Family!$A$11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Family!$B$2:$D$2</c15:sqref>
                        </c15:formulaRef>
                      </c:ext>
                    </c:extLst>
                    <c:strCache>
                      <c:ptCount val="3"/>
                      <c:pt idx="0">
                        <c:v>Y2011</c:v>
                      </c:pt>
                      <c:pt idx="1">
                        <c:v>Y2016</c:v>
                      </c:pt>
                      <c:pt idx="2">
                        <c:v>Y2021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Family!$B$11:$D$11</c15:sqref>
                        </c15:formulaRef>
                      </c:ext>
                    </c:extLst>
                    <c:numCache>
                      <c:formatCode>0.00%</c:formatCode>
                      <c:ptCount val="3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A01-4E0C-9C26-035109F926F3}"/>
                  </c:ext>
                </c:extLst>
              </c15:ser>
            </c15:filteredLineSeries>
          </c:ext>
        </c:extLst>
      </c:lineChart>
      <c:lineChart>
        <c:grouping val="stacked"/>
        <c:varyColors val="0"/>
        <c:ser>
          <c:idx val="0"/>
          <c:order val="0"/>
          <c:tx>
            <c:strRef>
              <c:f>Family!$A$3</c:f>
              <c:strCache>
                <c:ptCount val="1"/>
                <c:pt idx="0">
                  <c:v>Families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Family!$B$2:$D$2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Family!$B$3:$D$3</c:f>
              <c:numCache>
                <c:formatCode>#,##0</c:formatCode>
                <c:ptCount val="3"/>
                <c:pt idx="0">
                  <c:v>1138</c:v>
                </c:pt>
                <c:pt idx="1">
                  <c:v>1151</c:v>
                </c:pt>
                <c:pt idx="2">
                  <c:v>1173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01-4E0C-9C26-035109F926F3}"/>
            </c:ext>
          </c:extLst>
        </c:ser>
        <c:ser>
          <c:idx val="1"/>
          <c:order val="1"/>
          <c:tx>
            <c:strRef>
              <c:f>Family!$A$4</c:f>
              <c:strCache>
                <c:ptCount val="1"/>
                <c:pt idx="0">
                  <c:v>MedianFamilyWeeklyIncome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Family!$B$2:$D$2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Family!$B$4:$D$4</c:f>
              <c:numCache>
                <c:formatCode>General</c:formatCode>
                <c:ptCount val="3"/>
                <c:pt idx="0">
                  <c:v>1495</c:v>
                </c:pt>
                <c:pt idx="1">
                  <c:v>1727</c:v>
                </c:pt>
                <c:pt idx="2">
                  <c:v>2051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01-4E0C-9C26-035109F926F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04815664"/>
        <c:axId val="904816624"/>
      </c:lineChart>
      <c:catAx>
        <c:axId val="6390264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026896"/>
        <c:crosses val="autoZero"/>
        <c:auto val="1"/>
        <c:lblAlgn val="ctr"/>
        <c:lblOffset val="100"/>
        <c:noMultiLvlLbl val="0"/>
      </c:catAx>
      <c:valAx>
        <c:axId val="639026896"/>
        <c:scaling>
          <c:orientation val="minMax"/>
          <c:max val="1.2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/>
                  <a:t>Family Composition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026416"/>
        <c:crosses val="autoZero"/>
        <c:crossBetween val="between"/>
      </c:valAx>
      <c:valAx>
        <c:axId val="904816624"/>
        <c:scaling>
          <c:orientation val="minMax"/>
          <c:max val="3500"/>
          <c:min val="-155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/>
                  <a:t>Families/Income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4815664"/>
        <c:crosses val="max"/>
        <c:crossBetween val="between"/>
        <c:majorUnit val="550"/>
      </c:valAx>
      <c:catAx>
        <c:axId val="904815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048166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b="1"/>
              <a:t>Ownership/Household Composition Graph (Hassall Grove)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Ownership!$B$2</c:f>
              <c:strCache>
                <c:ptCount val="1"/>
                <c:pt idx="0">
                  <c:v>Y2011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Ownership!$A$3:$A$8</c:f>
              <c:strCache>
                <c:ptCount val="6"/>
                <c:pt idx="0">
                  <c:v>FamilyHouseHolds(%)</c:v>
                </c:pt>
                <c:pt idx="1">
                  <c:v>SinglePersonHouseHolds(%)</c:v>
                </c:pt>
                <c:pt idx="2">
                  <c:v>GroupHouseHold(%)</c:v>
                </c:pt>
                <c:pt idx="3">
                  <c:v>FullyOwned(%)</c:v>
                </c:pt>
                <c:pt idx="4">
                  <c:v>OwnedWithMortgage(%)</c:v>
                </c:pt>
                <c:pt idx="5">
                  <c:v>Rented(%)</c:v>
                </c:pt>
              </c:strCache>
            </c:strRef>
          </c:cat>
          <c:val>
            <c:numRef>
              <c:f>Ownership!$B$3:$B$8</c:f>
              <c:numCache>
                <c:formatCode>0.00%</c:formatCode>
                <c:ptCount val="6"/>
                <c:pt idx="0">
                  <c:v>0.90500000000000003</c:v>
                </c:pt>
                <c:pt idx="1">
                  <c:v>8.5000000000000006E-2</c:v>
                </c:pt>
                <c:pt idx="2">
                  <c:v>0.01</c:v>
                </c:pt>
                <c:pt idx="3">
                  <c:v>0.14499999999999999</c:v>
                </c:pt>
                <c:pt idx="4">
                  <c:v>0.61499999999999999</c:v>
                </c:pt>
                <c:pt idx="5">
                  <c:v>0.21100000000000002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2-4588-A7BF-EB1CFC2CD953}"/>
            </c:ext>
          </c:extLst>
        </c:ser>
        <c:ser>
          <c:idx val="1"/>
          <c:order val="1"/>
          <c:tx>
            <c:strRef>
              <c:f>Ownership!$C$2</c:f>
              <c:strCache>
                <c:ptCount val="1"/>
                <c:pt idx="0">
                  <c:v>Y2016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Ownership!$A$3:$A$8</c:f>
              <c:strCache>
                <c:ptCount val="6"/>
                <c:pt idx="0">
                  <c:v>FamilyHouseHolds(%)</c:v>
                </c:pt>
                <c:pt idx="1">
                  <c:v>SinglePersonHouseHolds(%)</c:v>
                </c:pt>
                <c:pt idx="2">
                  <c:v>GroupHouseHold(%)</c:v>
                </c:pt>
                <c:pt idx="3">
                  <c:v>FullyOwned(%)</c:v>
                </c:pt>
                <c:pt idx="4">
                  <c:v>OwnedWithMortgage(%)</c:v>
                </c:pt>
                <c:pt idx="5">
                  <c:v>Rented(%)</c:v>
                </c:pt>
              </c:strCache>
            </c:strRef>
          </c:cat>
          <c:val>
            <c:numRef>
              <c:f>Ownership!$C$3:$C$8</c:f>
              <c:numCache>
                <c:formatCode>0.00%</c:formatCode>
                <c:ptCount val="6"/>
                <c:pt idx="0">
                  <c:v>0.88700000000000001</c:v>
                </c:pt>
                <c:pt idx="1">
                  <c:v>0.106</c:v>
                </c:pt>
                <c:pt idx="2">
                  <c:v>7.0000000000000001E-3</c:v>
                </c:pt>
                <c:pt idx="3">
                  <c:v>0.17899999999999999</c:v>
                </c:pt>
                <c:pt idx="4">
                  <c:v>0.53799999999999992</c:v>
                </c:pt>
                <c:pt idx="5">
                  <c:v>0.26500000000000001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2-4588-A7BF-EB1CFC2CD953}"/>
            </c:ext>
          </c:extLst>
        </c:ser>
        <c:ser>
          <c:idx val="2"/>
          <c:order val="2"/>
          <c:tx>
            <c:strRef>
              <c:f>Ownership!$D$2</c:f>
              <c:strCache>
                <c:ptCount val="1"/>
                <c:pt idx="0">
                  <c:v>Y2021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Ownership!$A$3:$A$8</c:f>
              <c:strCache>
                <c:ptCount val="6"/>
                <c:pt idx="0">
                  <c:v>FamilyHouseHolds(%)</c:v>
                </c:pt>
                <c:pt idx="1">
                  <c:v>SinglePersonHouseHolds(%)</c:v>
                </c:pt>
                <c:pt idx="2">
                  <c:v>GroupHouseHold(%)</c:v>
                </c:pt>
                <c:pt idx="3">
                  <c:v>FullyOwned(%)</c:v>
                </c:pt>
                <c:pt idx="4">
                  <c:v>OwnedWithMortgage(%)</c:v>
                </c:pt>
                <c:pt idx="5">
                  <c:v>Rented(%)</c:v>
                </c:pt>
              </c:strCache>
            </c:strRef>
          </c:cat>
          <c:val>
            <c:numRef>
              <c:f>Ownership!$D$3:$D$8</c:f>
              <c:numCache>
                <c:formatCode>0.00%</c:formatCode>
                <c:ptCount val="6"/>
                <c:pt idx="0">
                  <c:v>0.872</c:v>
                </c:pt>
                <c:pt idx="1">
                  <c:v>0.113</c:v>
                </c:pt>
                <c:pt idx="2">
                  <c:v>1.4999999999999999E-2</c:v>
                </c:pt>
                <c:pt idx="3">
                  <c:v>0.19699999999999998</c:v>
                </c:pt>
                <c:pt idx="4">
                  <c:v>0.49099999999999999</c:v>
                </c:pt>
                <c:pt idx="5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2-4588-A7BF-EB1CFC2CD95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041341952"/>
        <c:axId val="1041340512"/>
      </c:barChart>
      <c:catAx>
        <c:axId val="10413419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200" b="1"/>
                  <a:t>Household Composition</a:t>
                </a:r>
              </a:p>
            </c:rich>
          </c:tx>
          <c:layout>
            <c:manualLayout>
              <c:xMode val="edge"/>
              <c:yMode val="edge"/>
              <c:x val="8.0517850236798555E-3"/>
              <c:y val="0.565204066623046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340512"/>
        <c:crosses val="autoZero"/>
        <c:auto val="1"/>
        <c:lblAlgn val="ctr"/>
        <c:lblOffset val="100"/>
        <c:noMultiLvlLbl val="0"/>
      </c:catAx>
      <c:valAx>
        <c:axId val="1041340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100" b="1"/>
                  <a:t>Percentage (%)</a:t>
                </a:r>
              </a:p>
            </c:rich>
          </c:tx>
          <c:layout>
            <c:manualLayout>
              <c:xMode val="edge"/>
              <c:yMode val="edge"/>
              <c:x val="0.53293148374744026"/>
              <c:y val="0.925628917932585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341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b="1"/>
              <a:t>Demand</a:t>
            </a:r>
            <a:r>
              <a:rPr lang="en-AU" b="1" baseline="0"/>
              <a:t> - Supply Chart</a:t>
            </a:r>
            <a:r>
              <a:rPr lang="en-AU" b="1"/>
              <a:t> (Hassall Grove)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'Demand-Supply'!$A$5</c:f>
              <c:strCache>
                <c:ptCount val="1"/>
                <c:pt idx="0">
                  <c:v>AverageNumberPeoplePerHousehold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'Demand-Supply'!$B$2:$D$2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'Demand-Supply'!$B$5:$D$5</c:f>
            </c:numRef>
          </c:val>
          <c:extLst>
            <c:ext xmlns:c16="http://schemas.microsoft.com/office/drawing/2014/chart" uri="{C3380CC4-5D6E-409C-BE32-E72D297353CC}">
              <c16:uniqueId val="{00000002-E8EB-4B8B-ACAF-88E4647BC387}"/>
            </c:ext>
          </c:extLst>
        </c:ser>
        <c:ser>
          <c:idx val="1"/>
          <c:order val="4"/>
          <c:tx>
            <c:strRef>
              <c:f>'Demand-Supply'!$A$4</c:f>
              <c:strCache>
                <c:ptCount val="1"/>
                <c:pt idx="0">
                  <c:v>Population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'Demand-Supply'!$B$2:$D$2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'Demand-Supply'!$B$4:$D$4</c:f>
              <c:numCache>
                <c:formatCode>#,##0</c:formatCode>
                <c:ptCount val="3"/>
                <c:pt idx="0">
                  <c:v>4396</c:v>
                </c:pt>
                <c:pt idx="1">
                  <c:v>4505</c:v>
                </c:pt>
                <c:pt idx="2">
                  <c:v>4401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EB-4B8B-ACAF-88E4647BC38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46611040"/>
        <c:axId val="146622080"/>
      </c:barChart>
      <c:barChart>
        <c:barDir val="col"/>
        <c:grouping val="clustered"/>
        <c:varyColors val="0"/>
        <c:ser>
          <c:idx val="4"/>
          <c:order val="0"/>
          <c:tx>
            <c:strRef>
              <c:f>'Demand-Supply'!$A$7</c:f>
              <c:strCache>
                <c:ptCount val="1"/>
                <c:pt idx="0">
                  <c:v>Ratio of Supply and Demand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'Demand-Supply'!$B$2:$D$2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'Demand-Supply'!$B$7:$D$7</c:f>
              <c:numCache>
                <c:formatCode>0.00</c:formatCode>
                <c:ptCount val="3"/>
                <c:pt idx="0">
                  <c:v>1.0367606915377616</c:v>
                </c:pt>
                <c:pt idx="1">
                  <c:v>1.0061043285238624</c:v>
                </c:pt>
                <c:pt idx="2">
                  <c:v>1.0115201090661212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8EB-4B8B-ACAF-88E4647BC38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46603840"/>
        <c:axId val="146603360"/>
      </c:barChart>
      <c:lineChart>
        <c:grouping val="stacked"/>
        <c:varyColors val="0"/>
        <c:ser>
          <c:idx val="3"/>
          <c:order val="1"/>
          <c:tx>
            <c:strRef>
              <c:f>'Demand-Supply'!$A$6</c:f>
              <c:strCache>
                <c:ptCount val="1"/>
                <c:pt idx="0">
                  <c:v>DEMAND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solidFill>
                <a:schemeClr val="accent4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'Demand-Supply'!$B$2:$D$2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'Demand-Supply'!$B$6:$D$6</c:f>
              <c:numCache>
                <c:formatCode>0.00</c:formatCode>
                <c:ptCount val="3"/>
                <c:pt idx="0">
                  <c:v>1221.1111111111111</c:v>
                </c:pt>
                <c:pt idx="1">
                  <c:v>1287.1428571428571</c:v>
                </c:pt>
                <c:pt idx="2">
                  <c:v>1333.6363636363637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8EB-4B8B-ACAF-88E4647BC387}"/>
            </c:ext>
          </c:extLst>
        </c:ser>
        <c:ser>
          <c:idx val="0"/>
          <c:order val="3"/>
          <c:tx>
            <c:strRef>
              <c:f>'Demand-Supply'!$A$3</c:f>
              <c:strCache>
                <c:ptCount val="1"/>
                <c:pt idx="0">
                  <c:v>TotalPrivateDwelling (TPD)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'Demand-Supply'!$B$2:$D$2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'Demand-Supply'!$B$3:$D$3</c:f>
              <c:numCache>
                <c:formatCode>#,##0</c:formatCode>
                <c:ptCount val="3"/>
                <c:pt idx="0">
                  <c:v>1266</c:v>
                </c:pt>
                <c:pt idx="1">
                  <c:v>1295</c:v>
                </c:pt>
                <c:pt idx="2">
                  <c:v>1349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EB-4B8B-ACAF-88E4647BC38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6611040"/>
        <c:axId val="146622080"/>
      </c:lineChart>
      <c:catAx>
        <c:axId val="146611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622080"/>
        <c:crosses val="autoZero"/>
        <c:auto val="1"/>
        <c:lblAlgn val="ctr"/>
        <c:lblOffset val="100"/>
        <c:noMultiLvlLbl val="0"/>
      </c:catAx>
      <c:valAx>
        <c:axId val="146622080"/>
        <c:scaling>
          <c:orientation val="minMax"/>
          <c:max val="6500"/>
          <c:min val="5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Population</a:t>
                </a:r>
                <a:r>
                  <a:rPr lang="en-AU" baseline="0"/>
                  <a:t> - </a:t>
                </a:r>
                <a:r>
                  <a:rPr lang="en-AU"/>
                  <a:t>Demand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611040"/>
        <c:crosses val="autoZero"/>
        <c:crossBetween val="between"/>
        <c:majorUnit val="1000"/>
      </c:valAx>
      <c:valAx>
        <c:axId val="146603360"/>
        <c:scaling>
          <c:orientation val="minMax"/>
          <c:max val="1.6900000000000002"/>
          <c:min val="0.8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Ratio</a:t>
                </a:r>
                <a:r>
                  <a:rPr lang="en-AU" baseline="0"/>
                  <a:t> of Supply and Demand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603840"/>
        <c:crosses val="max"/>
        <c:crossBetween val="between"/>
      </c:valAx>
      <c:catAx>
        <c:axId val="146603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66033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b="1"/>
              <a:t>Population/Marriage status (Hassall Grove)</a:t>
            </a:r>
            <a:r>
              <a:rPr lang="en-AU" b="1" baseline="0"/>
              <a:t> </a:t>
            </a:r>
            <a:endParaRPr lang="en-AU" b="1"/>
          </a:p>
        </c:rich>
      </c:tx>
      <c:layout>
        <c:manualLayout>
          <c:xMode val="edge"/>
          <c:yMode val="edge"/>
          <c:x val="0.30145351694051942"/>
          <c:y val="2.798768541841589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282985174798354"/>
          <c:y val="0.10380632521690457"/>
          <c:w val="0.81453061517995184"/>
          <c:h val="0.70789693479750804"/>
        </c:manualLayout>
      </c:layout>
      <c:barChart>
        <c:barDir val="col"/>
        <c:grouping val="clustered"/>
        <c:varyColors val="0"/>
        <c:ser>
          <c:idx val="3"/>
          <c:order val="3"/>
          <c:tx>
            <c:strRef>
              <c:f>Population!$A$6</c:f>
              <c:strCache>
                <c:ptCount val="1"/>
                <c:pt idx="0">
                  <c:v>Married(%)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Population!$B$2:$D$2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Population!$B$6:$D$6</c:f>
              <c:numCache>
                <c:formatCode>0.00%</c:formatCode>
                <c:ptCount val="3"/>
                <c:pt idx="0">
                  <c:v>0.53700000000000003</c:v>
                </c:pt>
                <c:pt idx="1">
                  <c:v>0.48799999999999999</c:v>
                </c:pt>
                <c:pt idx="2">
                  <c:v>0.49099999999999999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83-41CF-AB8E-965F6B7919DF}"/>
            </c:ext>
          </c:extLst>
        </c:ser>
        <c:ser>
          <c:idx val="4"/>
          <c:order val="4"/>
          <c:tx>
            <c:strRef>
              <c:f>Population!$A$7</c:f>
              <c:strCache>
                <c:ptCount val="1"/>
                <c:pt idx="0">
                  <c:v>Separated+Divorced(%)</c:v>
                </c:pt>
              </c:strCache>
            </c:strRef>
          </c:tx>
          <c:spPr>
            <a:solidFill>
              <a:srgbClr val="FF99FF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E9D4F6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Population!$B$2:$D$2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Population!$B$7:$D$7</c:f>
              <c:numCache>
                <c:formatCode>0.00%</c:formatCode>
                <c:ptCount val="3"/>
                <c:pt idx="0">
                  <c:v>8.5000000000000006E-2</c:v>
                </c:pt>
                <c:pt idx="1">
                  <c:v>9.0999999999999998E-2</c:v>
                </c:pt>
                <c:pt idx="2">
                  <c:v>9.5000000000000001E-2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F83-41CF-AB8E-965F6B7919DF}"/>
            </c:ext>
          </c:extLst>
        </c:ser>
        <c:ser>
          <c:idx val="5"/>
          <c:order val="5"/>
          <c:tx>
            <c:strRef>
              <c:f>Population!$A$8</c:f>
              <c:strCache>
                <c:ptCount val="1"/>
                <c:pt idx="0">
                  <c:v>Widowed(%)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Population!$B$2:$D$2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Population!$B$8:$D$8</c:f>
              <c:numCache>
                <c:formatCode>0.00%</c:formatCode>
                <c:ptCount val="3"/>
                <c:pt idx="0">
                  <c:v>2.5999999999999999E-2</c:v>
                </c:pt>
                <c:pt idx="1">
                  <c:v>2.7000000000000003E-2</c:v>
                </c:pt>
                <c:pt idx="2">
                  <c:v>2.7E-2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F83-41CF-AB8E-965F6B7919DF}"/>
            </c:ext>
          </c:extLst>
        </c:ser>
        <c:ser>
          <c:idx val="6"/>
          <c:order val="6"/>
          <c:tx>
            <c:strRef>
              <c:f>Population!$A$9</c:f>
              <c:strCache>
                <c:ptCount val="1"/>
                <c:pt idx="0">
                  <c:v>NeverMarried(%)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66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Population!$B$2:$D$2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Population!$B$9:$D$9</c:f>
              <c:numCache>
                <c:formatCode>0.00%</c:formatCode>
                <c:ptCount val="3"/>
                <c:pt idx="0">
                  <c:v>0.35200000000000004</c:v>
                </c:pt>
                <c:pt idx="1">
                  <c:v>0.39399999999999996</c:v>
                </c:pt>
                <c:pt idx="2">
                  <c:v>0.38700000000000001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F83-41CF-AB8E-965F6B7919D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164155600"/>
        <c:axId val="1164162800"/>
      </c:barChart>
      <c:lineChart>
        <c:grouping val="standard"/>
        <c:varyColors val="0"/>
        <c:ser>
          <c:idx val="2"/>
          <c:order val="2"/>
          <c:tx>
            <c:strRef>
              <c:f>Population!$A$5</c:f>
              <c:strCache>
                <c:ptCount val="1"/>
                <c:pt idx="0">
                  <c:v>BirthInAustralia(%)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Population!$B$2:$D$2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Population!$B$5:$D$5</c:f>
            </c:numRef>
          </c:val>
          <c:smooth val="0"/>
          <c:extLst>
            <c:ext xmlns:c16="http://schemas.microsoft.com/office/drawing/2014/chart" uri="{C3380CC4-5D6E-409C-BE32-E72D297353CC}">
              <c16:uniqueId val="{00000002-BF83-41CF-AB8E-965F6B7919D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64155600"/>
        <c:axId val="1164162800"/>
      </c:lineChart>
      <c:lineChart>
        <c:grouping val="stacked"/>
        <c:varyColors val="0"/>
        <c:ser>
          <c:idx val="0"/>
          <c:order val="0"/>
          <c:tx>
            <c:strRef>
              <c:f>Population!$A$3</c:f>
              <c:strCache>
                <c:ptCount val="1"/>
                <c:pt idx="0">
                  <c:v>Population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2.6818873668188737E-2"/>
                  <c:y val="6.01525879793992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F83-41CF-AB8E-965F6B7919DF}"/>
                </c:ext>
              </c:extLst>
            </c:dLbl>
            <c:spPr>
              <a:solidFill>
                <a:schemeClr val="accent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bg1"/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Population!$B$2:$D$2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Population!$B$3:$D$3</c:f>
              <c:numCache>
                <c:formatCode>0</c:formatCode>
                <c:ptCount val="3"/>
                <c:pt idx="0">
                  <c:v>4396</c:v>
                </c:pt>
                <c:pt idx="1">
                  <c:v>4505</c:v>
                </c:pt>
                <c:pt idx="2">
                  <c:v>4401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83-41CF-AB8E-965F6B7919DF}"/>
            </c:ext>
          </c:extLst>
        </c:ser>
        <c:ser>
          <c:idx val="1"/>
          <c:order val="1"/>
          <c:tx>
            <c:strRef>
              <c:f>Population!$A$4</c:f>
              <c:strCache>
                <c:ptCount val="1"/>
                <c:pt idx="0">
                  <c:v>MedianAge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Population!$B$2:$D$2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Population!$B$4:$D$4</c:f>
            </c:numRef>
          </c:val>
          <c:smooth val="0"/>
          <c:extLst>
            <c:ext xmlns:c16="http://schemas.microsoft.com/office/drawing/2014/chart" uri="{C3380CC4-5D6E-409C-BE32-E72D297353CC}">
              <c16:uniqueId val="{00000001-BF83-41CF-AB8E-965F6B7919D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38946112"/>
        <c:axId val="1338947552"/>
      </c:lineChart>
      <c:catAx>
        <c:axId val="11641556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200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4162800"/>
        <c:crosses val="autoZero"/>
        <c:auto val="1"/>
        <c:lblAlgn val="ctr"/>
        <c:lblOffset val="100"/>
        <c:noMultiLvlLbl val="0"/>
      </c:catAx>
      <c:valAx>
        <c:axId val="1164162800"/>
        <c:scaling>
          <c:orientation val="minMax"/>
          <c:max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100" b="1"/>
                  <a:t>Marrital Status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4155600"/>
        <c:crosses val="autoZero"/>
        <c:crossBetween val="between"/>
      </c:valAx>
      <c:valAx>
        <c:axId val="1338947552"/>
        <c:scaling>
          <c:orientation val="minMax"/>
          <c:max val="4520"/>
          <c:min val="415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100" b="1"/>
                  <a:t>Population</a:t>
                </a:r>
              </a:p>
            </c:rich>
          </c:tx>
          <c:layout>
            <c:manualLayout>
              <c:xMode val="edge"/>
              <c:yMode val="edge"/>
              <c:x val="0.96772444540322844"/>
              <c:y val="0.379326356245771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8946112"/>
        <c:crosses val="max"/>
        <c:crossBetween val="between"/>
      </c:valAx>
      <c:catAx>
        <c:axId val="1338946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389475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Finance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Finance!$A$4</c:f>
              <c:strCache>
                <c:ptCount val="1"/>
                <c:pt idx="0">
                  <c:v>MedianMortgageWeeklyPayment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Finance!$B$4:$D$4</c:f>
            </c:numRef>
          </c:val>
          <c:extLst>
            <c:ext xmlns:c16="http://schemas.microsoft.com/office/drawing/2014/chart" uri="{C3380CC4-5D6E-409C-BE32-E72D297353CC}">
              <c16:uniqueId val="{00000001-FB2C-40C0-B28D-9565A90E1A55}"/>
            </c:ext>
          </c:extLst>
        </c:ser>
        <c:ser>
          <c:idx val="2"/>
          <c:order val="2"/>
          <c:tx>
            <c:strRef>
              <c:f>Finance!$A$5</c:f>
              <c:strCache>
                <c:ptCount val="1"/>
                <c:pt idx="0">
                  <c:v>MedianWeeklyRent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Finance!$B$5:$D$5</c:f>
            </c:numRef>
          </c:val>
          <c:extLst>
            <c:ext xmlns:c16="http://schemas.microsoft.com/office/drawing/2014/chart" uri="{C3380CC4-5D6E-409C-BE32-E72D297353CC}">
              <c16:uniqueId val="{00000002-FB2C-40C0-B28D-9565A90E1A55}"/>
            </c:ext>
          </c:extLst>
        </c:ser>
        <c:ser>
          <c:idx val="3"/>
          <c:order val="3"/>
          <c:tx>
            <c:strRef>
              <c:f>Finance!$A$6</c:f>
              <c:strCache>
                <c:ptCount val="1"/>
                <c:pt idx="0">
                  <c:v>LessThan$650WeeklyIncome(%)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Finance!$B$6:$D$6</c:f>
            </c:numRef>
          </c:val>
          <c:extLst>
            <c:ext xmlns:c16="http://schemas.microsoft.com/office/drawing/2014/chart" uri="{C3380CC4-5D6E-409C-BE32-E72D297353CC}">
              <c16:uniqueId val="{00000003-FB2C-40C0-B28D-9565A90E1A55}"/>
            </c:ext>
          </c:extLst>
        </c:ser>
        <c:ser>
          <c:idx val="5"/>
          <c:order val="5"/>
          <c:tx>
            <c:strRef>
              <c:f>Finance!$A$8</c:f>
              <c:strCache>
                <c:ptCount val="1"/>
                <c:pt idx="0">
                  <c:v>HouseholdsRentPayments&lt;30%Income (%)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Finance!$B$8:$D$8</c:f>
            </c:numRef>
          </c:val>
          <c:extLst>
            <c:ext xmlns:c16="http://schemas.microsoft.com/office/drawing/2014/chart" uri="{C3380CC4-5D6E-409C-BE32-E72D297353CC}">
              <c16:uniqueId val="{00000005-FB2C-40C0-B28D-9565A90E1A55}"/>
            </c:ext>
          </c:extLst>
        </c:ser>
        <c:ser>
          <c:idx val="8"/>
          <c:order val="8"/>
          <c:tx>
            <c:strRef>
              <c:f>Finance!$A$11</c:f>
              <c:strCache>
                <c:ptCount val="1"/>
                <c:pt idx="0">
                  <c:v>HouseholdsMortgageRepayments&gt;30%Income(%)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Finance!$B$11:$D$11</c:f>
            </c:numRef>
          </c:val>
          <c:extLst>
            <c:ext xmlns:c16="http://schemas.microsoft.com/office/drawing/2014/chart" uri="{C3380CC4-5D6E-409C-BE32-E72D297353CC}">
              <c16:uniqueId val="{00000008-FB2C-40C0-B28D-9565A90E1A5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447141472"/>
        <c:axId val="1447151072"/>
      </c:barChart>
      <c:barChart>
        <c:barDir val="col"/>
        <c:grouping val="clustered"/>
        <c:varyColors val="0"/>
        <c:ser>
          <c:idx val="4"/>
          <c:order val="4"/>
          <c:tx>
            <c:strRef>
              <c:f>Finance!$A$7</c:f>
              <c:strCache>
                <c:ptCount val="1"/>
                <c:pt idx="0">
                  <c:v>MoreThan$3000WeeklyIncome(%)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Finance!$B$7:$D$7</c:f>
              <c:numCache>
                <c:formatCode>0.00%</c:formatCode>
                <c:ptCount val="3"/>
                <c:pt idx="0">
                  <c:v>6.8000000000000005E-2</c:v>
                </c:pt>
                <c:pt idx="1">
                  <c:v>0.14800000000000002</c:v>
                </c:pt>
                <c:pt idx="2">
                  <c:v>0.22600000000000001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2C-40C0-B28D-9565A90E1A55}"/>
            </c:ext>
          </c:extLst>
        </c:ser>
        <c:ser>
          <c:idx val="6"/>
          <c:order val="6"/>
          <c:tx>
            <c:strRef>
              <c:f>Finance!$A$9</c:f>
              <c:strCache>
                <c:ptCount val="1"/>
                <c:pt idx="0">
                  <c:v>HouseholdsRentPayments&gt;30%Income(%)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Finance!$B$9:$D$9</c:f>
              <c:numCache>
                <c:formatCode>0.00%</c:formatCode>
                <c:ptCount val="3"/>
                <c:pt idx="0">
                  <c:v>9.0999999999999998E-2</c:v>
                </c:pt>
                <c:pt idx="1">
                  <c:v>0.106</c:v>
                </c:pt>
                <c:pt idx="2">
                  <c:v>0.35199999999999998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B2C-40C0-B28D-9565A90E1A55}"/>
            </c:ext>
          </c:extLst>
        </c:ser>
        <c:ser>
          <c:idx val="7"/>
          <c:order val="7"/>
          <c:tx>
            <c:strRef>
              <c:f>Finance!$A$10</c:f>
              <c:strCache>
                <c:ptCount val="1"/>
                <c:pt idx="0">
                  <c:v>HouseholdsMortgageRepayments&lt;30%Income(%)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Finance!$B$10:$D$10</c:f>
              <c:numCache>
                <c:formatCode>0.00%</c:formatCode>
                <c:ptCount val="3"/>
                <c:pt idx="0">
                  <c:v>0.77099999999999991</c:v>
                </c:pt>
                <c:pt idx="1">
                  <c:v>0.86099999999999999</c:v>
                </c:pt>
                <c:pt idx="2">
                  <c:v>0.66600000000000004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B2C-40C0-B28D-9565A90E1A5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447141472"/>
        <c:axId val="1447151072"/>
      </c:barChart>
      <c:lineChart>
        <c:grouping val="stacked"/>
        <c:varyColors val="0"/>
        <c:ser>
          <c:idx val="0"/>
          <c:order val="0"/>
          <c:tx>
            <c:strRef>
              <c:f>Finance!$A$3</c:f>
              <c:strCache>
                <c:ptCount val="1"/>
                <c:pt idx="0">
                  <c:v>MedianHouseholdWeeIklyIncome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solidFill>
                <a:srgbClr val="FF99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Finance!$B$3:$D$3</c:f>
              <c:numCache>
                <c:formatCode>General</c:formatCode>
                <c:ptCount val="3"/>
                <c:pt idx="0">
                  <c:v>1498</c:v>
                </c:pt>
                <c:pt idx="1">
                  <c:v>1718</c:v>
                </c:pt>
                <c:pt idx="2">
                  <c:v>2018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2C-40C0-B28D-9565A90E1A55}"/>
            </c:ext>
          </c:extLst>
        </c:ser>
        <c:ser>
          <c:idx val="9"/>
          <c:order val="9"/>
          <c:tx>
            <c:strRef>
              <c:f>Finance!$A$12</c:f>
              <c:strCache>
                <c:ptCount val="1"/>
                <c:pt idx="0">
                  <c:v>Median Savings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dLbls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Finance!$B$12:$D$12</c:f>
              <c:numCache>
                <c:formatCode>0.00</c:formatCode>
                <c:ptCount val="3"/>
                <c:pt idx="0">
                  <c:v>687.70080552359036</c:v>
                </c:pt>
                <c:pt idx="1">
                  <c:v>869.20828538550063</c:v>
                </c:pt>
                <c:pt idx="2">
                  <c:v>1147.7008055235904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B2C-40C0-B28D-9565A90E1A5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32978784"/>
        <c:axId val="1132979264"/>
      </c:lineChart>
      <c:catAx>
        <c:axId val="144714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7151072"/>
        <c:crosses val="autoZero"/>
        <c:auto val="1"/>
        <c:lblAlgn val="ctr"/>
        <c:lblOffset val="100"/>
        <c:noMultiLvlLbl val="0"/>
      </c:catAx>
      <c:valAx>
        <c:axId val="1447151072"/>
        <c:scaling>
          <c:orientation val="minMax"/>
          <c:max val="2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/>
                  <a:t>Mortgage and Rent Repayments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7141472"/>
        <c:crosses val="autoZero"/>
        <c:crossBetween val="between"/>
      </c:valAx>
      <c:valAx>
        <c:axId val="1132979264"/>
        <c:scaling>
          <c:orientation val="minMax"/>
          <c:min val="-10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/>
                  <a:t>Median Income and Savings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978784"/>
        <c:crosses val="max"/>
        <c:crossBetween val="between"/>
      </c:valAx>
      <c:catAx>
        <c:axId val="1132978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32979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Affordability (Hassall Grove)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strRef>
              <c:f>Affordability!$A$6</c:f>
              <c:strCache>
                <c:ptCount val="1"/>
                <c:pt idx="0">
                  <c:v>Median Houselhold Annual Income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Affordability!$B$2:$D$2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Affordability!$B$6:$D$6</c:f>
            </c:numRef>
          </c:val>
          <c:extLst>
            <c:ext xmlns:c16="http://schemas.microsoft.com/office/drawing/2014/chart" uri="{C3380CC4-5D6E-409C-BE32-E72D297353CC}">
              <c16:uniqueId val="{00000003-C160-46AF-8B14-3D0F7F74A9E3}"/>
            </c:ext>
          </c:extLst>
        </c:ser>
        <c:ser>
          <c:idx val="4"/>
          <c:order val="4"/>
          <c:tx>
            <c:strRef>
              <c:f>Affordability!$A$7</c:f>
              <c:strCache>
                <c:ptCount val="1"/>
                <c:pt idx="0">
                  <c:v>Median Family Annual Income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Affordability!$B$2:$D$2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Affordability!$B$7:$D$7</c:f>
            </c:numRef>
          </c:val>
          <c:extLst>
            <c:ext xmlns:c16="http://schemas.microsoft.com/office/drawing/2014/chart" uri="{C3380CC4-5D6E-409C-BE32-E72D297353CC}">
              <c16:uniqueId val="{00000004-C160-46AF-8B14-3D0F7F74A9E3}"/>
            </c:ext>
          </c:extLst>
        </c:ser>
        <c:ser>
          <c:idx val="7"/>
          <c:order val="7"/>
          <c:tx>
            <c:strRef>
              <c:f>Affordability!$A$10</c:f>
              <c:strCache>
                <c:ptCount val="1"/>
                <c:pt idx="0">
                  <c:v>House Affordability (Personal)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Affordability!$B$2:$D$2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Affordability!$B$10:$D$10</c:f>
              <c:numCache>
                <c:formatCode>0.00</c:formatCode>
                <c:ptCount val="3"/>
                <c:pt idx="0">
                  <c:v>11.131526330401067</c:v>
                </c:pt>
                <c:pt idx="1">
                  <c:v>16.780775943079608</c:v>
                </c:pt>
                <c:pt idx="2">
                  <c:v>18.032708945912375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160-46AF-8B14-3D0F7F74A9E3}"/>
            </c:ext>
          </c:extLst>
        </c:ser>
        <c:ser>
          <c:idx val="5"/>
          <c:order val="5"/>
          <c:tx>
            <c:strRef>
              <c:f>Affordability!$A$8</c:f>
              <c:strCache>
                <c:ptCount val="1"/>
                <c:pt idx="0">
                  <c:v>Median Personal Annual Income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Affordability!$B$2:$D$2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Affordability!$B$8:$D$8</c:f>
            </c:numRef>
          </c:val>
          <c:extLst>
            <c:ext xmlns:c16="http://schemas.microsoft.com/office/drawing/2014/chart" uri="{C3380CC4-5D6E-409C-BE32-E72D297353CC}">
              <c16:uniqueId val="{00000005-C160-46AF-8B14-3D0F7F74A9E3}"/>
            </c:ext>
          </c:extLst>
        </c:ser>
        <c:ser>
          <c:idx val="2"/>
          <c:order val="2"/>
          <c:tx>
            <c:strRef>
              <c:f>Affordability!$A$5</c:f>
              <c:strCache>
                <c:ptCount val="1"/>
                <c:pt idx="0">
                  <c:v>House Affordability (Household)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Affordability!$B$2:$D$2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Affordability!$B$5:$D$5</c:f>
              <c:numCache>
                <c:formatCode>0.00</c:formatCode>
                <c:ptCount val="3"/>
                <c:pt idx="0">
                  <c:v>4.4808480488864104</c:v>
                </c:pt>
                <c:pt idx="1">
                  <c:v>6.6419834931863404</c:v>
                </c:pt>
                <c:pt idx="2">
                  <c:v>7.0325777702839636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160-46AF-8B14-3D0F7F74A9E3}"/>
            </c:ext>
          </c:extLst>
        </c:ser>
        <c:ser>
          <c:idx val="6"/>
          <c:order val="6"/>
          <c:tx>
            <c:strRef>
              <c:f>Affordability!$A$9</c:f>
              <c:strCache>
                <c:ptCount val="1"/>
                <c:pt idx="0">
                  <c:v>House Affordability (Family)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Affordability!$B$2:$D$2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Affordability!$B$9:$D$9</c:f>
              <c:numCache>
                <c:formatCode>0.00</c:formatCode>
                <c:ptCount val="3"/>
                <c:pt idx="0">
                  <c:v>4.4898397172119351</c:v>
                </c:pt>
                <c:pt idx="1">
                  <c:v>6.6073697980857755</c:v>
                </c:pt>
                <c:pt idx="2">
                  <c:v>6.9194256169834416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160-46AF-8B14-3D0F7F74A9E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77122480"/>
        <c:axId val="1577119600"/>
      </c:barChart>
      <c:lineChart>
        <c:grouping val="stacked"/>
        <c:varyColors val="0"/>
        <c:ser>
          <c:idx val="0"/>
          <c:order val="0"/>
          <c:tx>
            <c:strRef>
              <c:f>Affordability!$A$3</c:f>
              <c:strCache>
                <c:ptCount val="1"/>
                <c:pt idx="0">
                  <c:v>MedianHouseholdWeeIklyIncome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Affordability!$B$2:$D$2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Affordability!$B$3:$D$3</c:f>
            </c:numRef>
          </c:val>
          <c:smooth val="0"/>
          <c:extLst>
            <c:ext xmlns:c16="http://schemas.microsoft.com/office/drawing/2014/chart" uri="{C3380CC4-5D6E-409C-BE32-E72D297353CC}">
              <c16:uniqueId val="{00000000-C160-46AF-8B14-3D0F7F74A9E3}"/>
            </c:ext>
          </c:extLst>
        </c:ser>
        <c:ser>
          <c:idx val="1"/>
          <c:order val="1"/>
          <c:tx>
            <c:strRef>
              <c:f>Affordability!$A$4</c:f>
              <c:strCache>
                <c:ptCount val="1"/>
                <c:pt idx="0">
                  <c:v>MedianHousePrice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Affordability!$B$2:$D$2</c:f>
              <c:strCache>
                <c:ptCount val="3"/>
                <c:pt idx="0">
                  <c:v>Y2011</c:v>
                </c:pt>
                <c:pt idx="1">
                  <c:v>Y2016</c:v>
                </c:pt>
                <c:pt idx="2">
                  <c:v>Y2021</c:v>
                </c:pt>
              </c:strCache>
            </c:strRef>
          </c:cat>
          <c:val>
            <c:numRef>
              <c:f>Affordability!$B$4:$D$4</c:f>
              <c:numCache>
                <c:formatCode>General</c:formatCode>
                <c:ptCount val="3"/>
                <c:pt idx="0">
                  <c:v>350000</c:v>
                </c:pt>
                <c:pt idx="1">
                  <c:v>595000</c:v>
                </c:pt>
                <c:pt idx="2">
                  <c:v>740000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60-46AF-8B14-3D0F7F74A9E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32188159"/>
        <c:axId val="1432195359"/>
      </c:lineChart>
      <c:catAx>
        <c:axId val="1577122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200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7119600"/>
        <c:crosses val="autoZero"/>
        <c:auto val="1"/>
        <c:lblAlgn val="ctr"/>
        <c:lblOffset val="100"/>
        <c:noMultiLvlLbl val="0"/>
      </c:catAx>
      <c:valAx>
        <c:axId val="1577119600"/>
        <c:scaling>
          <c:orientation val="minMax"/>
          <c:max val="4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100" b="1"/>
                  <a:t>House Affordability for different index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7122480"/>
        <c:crosses val="autoZero"/>
        <c:crossBetween val="between"/>
      </c:valAx>
      <c:valAx>
        <c:axId val="14321953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200" b="1"/>
                  <a:t>Median House Prices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188159"/>
        <c:crosses val="max"/>
        <c:crossBetween val="between"/>
      </c:valAx>
      <c:catAx>
        <c:axId val="143218815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3219535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607499</xdr:colOff>
      <xdr:row>0</xdr:row>
      <xdr:rowOff>63403</xdr:rowOff>
    </xdr:from>
    <xdr:to>
      <xdr:col>18</xdr:col>
      <xdr:colOff>24063</xdr:colOff>
      <xdr:row>26</xdr:row>
      <xdr:rowOff>72189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2DAA16CE-01B6-274F-7E68-DE8DEDD1670C}"/>
            </a:ext>
          </a:extLst>
        </xdr:cNvPr>
        <xdr:cNvGrpSpPr/>
      </xdr:nvGrpSpPr>
      <xdr:grpSpPr>
        <a:xfrm>
          <a:off x="4874699" y="63403"/>
          <a:ext cx="7950964" cy="4805375"/>
          <a:chOff x="4874699" y="63403"/>
          <a:chExt cx="7950964" cy="4805375"/>
        </a:xfrm>
      </xdr:grpSpPr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0EE59AAA-796A-DB46-77C5-5156D57B5A8B}"/>
              </a:ext>
            </a:extLst>
          </xdr:cNvPr>
          <xdr:cNvGraphicFramePr/>
        </xdr:nvGraphicFramePr>
        <xdr:xfrm>
          <a:off x="4874699" y="63403"/>
          <a:ext cx="7950964" cy="48053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8789841A-8957-F50C-8E19-1581398CDD20}"/>
              </a:ext>
            </a:extLst>
          </xdr:cNvPr>
          <xdr:cNvSpPr txBox="1"/>
        </xdr:nvSpPr>
        <xdr:spPr>
          <a:xfrm>
            <a:off x="6641432" y="601579"/>
            <a:ext cx="2197768" cy="44115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AU" sz="1050">
                <a:solidFill>
                  <a:schemeClr val="accent2"/>
                </a:solidFill>
              </a:rPr>
              <a:t>1.5% Decrease between 2011 - 2016</a:t>
            </a:r>
          </a:p>
        </xdr:txBody>
      </xdr:sp>
    </xdr:grpSp>
    <xdr:clientData/>
  </xdr:twoCellAnchor>
  <xdr:twoCellAnchor>
    <xdr:from>
      <xdr:col>8</xdr:col>
      <xdr:colOff>128336</xdr:colOff>
      <xdr:row>5</xdr:row>
      <xdr:rowOff>40105</xdr:rowOff>
    </xdr:from>
    <xdr:to>
      <xdr:col>11</xdr:col>
      <xdr:colOff>208547</xdr:colOff>
      <xdr:row>5</xdr:row>
      <xdr:rowOff>40105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B05B6735-EBFE-71C3-770D-DCB8B544892A}"/>
            </a:ext>
          </a:extLst>
        </xdr:cNvPr>
        <xdr:cNvCxnSpPr/>
      </xdr:nvCxnSpPr>
      <xdr:spPr>
        <a:xfrm>
          <a:off x="6930189" y="962526"/>
          <a:ext cx="1909011" cy="0"/>
        </a:xfrm>
        <a:prstGeom prst="straightConnector1">
          <a:avLst/>
        </a:prstGeom>
        <a:ln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0.29181</cdr:x>
      <cdr:y>0.54264</cdr:y>
    </cdr:from>
    <cdr:to>
      <cdr:x>0.43708</cdr:x>
      <cdr:y>0.75296</cdr:y>
    </cdr:to>
    <cdr:sp macro="" textlink="">
      <cdr:nvSpPr>
        <cdr:cNvPr id="2" name="Double Bracket 1">
          <a:extLst xmlns:a="http://schemas.openxmlformats.org/drawingml/2006/main">
            <a:ext uri="{FF2B5EF4-FFF2-40B4-BE49-F238E27FC236}">
              <a16:creationId xmlns:a16="http://schemas.microsoft.com/office/drawing/2014/main" id="{5B256CE4-FA41-1BA4-DF81-A15197F8B46D}"/>
            </a:ext>
          </a:extLst>
        </cdr:cNvPr>
        <cdr:cNvSpPr/>
      </cdr:nvSpPr>
      <cdr:spPr>
        <a:xfrm xmlns:a="http://schemas.openxmlformats.org/drawingml/2006/main">
          <a:off x="2320185" y="2607608"/>
          <a:ext cx="1155032" cy="1010652"/>
        </a:xfrm>
        <a:prstGeom xmlns:a="http://schemas.openxmlformats.org/drawingml/2006/main" prst="bracketPair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pPr algn="ctr"/>
          <a:r>
            <a:rPr lang="en-US" sz="1000">
              <a:solidFill>
                <a:schemeClr val="bg1">
                  <a:lumMod val="50000"/>
                </a:schemeClr>
              </a:solidFill>
            </a:rPr>
            <a:t>Decrease by</a:t>
          </a:r>
          <a:r>
            <a:rPr lang="en-US" sz="1000" baseline="0">
              <a:solidFill>
                <a:schemeClr val="bg1">
                  <a:lumMod val="50000"/>
                </a:schemeClr>
              </a:solidFill>
            </a:rPr>
            <a:t> 3.4% from 2011 - 2016</a:t>
          </a:r>
          <a:r>
            <a:rPr lang="en-US" sz="1000" baseline="0"/>
            <a:t>, with </a:t>
          </a:r>
          <a:r>
            <a:rPr lang="en-US" sz="1000" baseline="0">
              <a:solidFill>
                <a:schemeClr val="accent4">
                  <a:lumMod val="75000"/>
                </a:schemeClr>
              </a:solidFill>
            </a:rPr>
            <a:t>increase in semi detached by 3%</a:t>
          </a:r>
          <a:endParaRPr lang="en-US" sz="10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0.55619</cdr:x>
      <cdr:y>0.54471</cdr:y>
    </cdr:from>
    <cdr:to>
      <cdr:x>0.70146</cdr:x>
      <cdr:y>0.75503</cdr:y>
    </cdr:to>
    <cdr:sp macro="" textlink="">
      <cdr:nvSpPr>
        <cdr:cNvPr id="4" name="Double Bracket 3">
          <a:extLst xmlns:a="http://schemas.openxmlformats.org/drawingml/2006/main">
            <a:ext uri="{FF2B5EF4-FFF2-40B4-BE49-F238E27FC236}">
              <a16:creationId xmlns:a16="http://schemas.microsoft.com/office/drawing/2014/main" id="{F7DDC0EA-F08D-163E-C1A1-F7095A0ABAE8}"/>
            </a:ext>
          </a:extLst>
        </cdr:cNvPr>
        <cdr:cNvSpPr/>
      </cdr:nvSpPr>
      <cdr:spPr>
        <a:xfrm xmlns:a="http://schemas.openxmlformats.org/drawingml/2006/main">
          <a:off x="4422274" y="2617537"/>
          <a:ext cx="1155032" cy="1010652"/>
        </a:xfrm>
        <a:prstGeom xmlns:a="http://schemas.openxmlformats.org/drawingml/2006/main" prst="bracketPair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>
              <a:solidFill>
                <a:schemeClr val="bg1">
                  <a:lumMod val="50000"/>
                </a:schemeClr>
              </a:solidFill>
            </a:rPr>
            <a:t>Decrease by</a:t>
          </a:r>
          <a:r>
            <a:rPr lang="en-US" sz="900" baseline="0">
              <a:solidFill>
                <a:schemeClr val="bg1">
                  <a:lumMod val="50000"/>
                </a:schemeClr>
              </a:solidFill>
            </a:rPr>
            <a:t> 1.1% from 2016 - 2021</a:t>
          </a:r>
          <a:r>
            <a:rPr lang="en-US" sz="900" baseline="0"/>
            <a:t>, with </a:t>
          </a:r>
          <a:r>
            <a:rPr lang="en-US" sz="900" baseline="0">
              <a:solidFill>
                <a:schemeClr val="accent4">
                  <a:lumMod val="75000"/>
                </a:schemeClr>
              </a:solidFill>
            </a:rPr>
            <a:t>increase in semi detached by 0.2% </a:t>
          </a:r>
          <a:r>
            <a:rPr lang="en-US" sz="900" baseline="0">
              <a:solidFill>
                <a:schemeClr val="accent5"/>
              </a:solidFill>
            </a:rPr>
            <a:t>and increase in flats by 1.30%</a:t>
          </a:r>
          <a:endParaRPr lang="en-US" sz="900">
            <a:solidFill>
              <a:schemeClr val="accent5"/>
            </a:solidFill>
          </a:endParaRPr>
        </a:p>
      </cdr:txBody>
    </cdr:sp>
  </cdr:relSizeAnchor>
  <cdr:relSizeAnchor xmlns:cdr="http://schemas.openxmlformats.org/drawingml/2006/chartDrawing">
    <cdr:from>
      <cdr:x>0.50777</cdr:x>
      <cdr:y>0.1174</cdr:y>
    </cdr:from>
    <cdr:to>
      <cdr:x>0.78419</cdr:x>
      <cdr:y>0.2092</cdr:y>
    </cdr:to>
    <cdr:sp macro="" textlink="">
      <cdr:nvSpPr>
        <cdr:cNvPr id="5" name="TextBox 3">
          <a:extLst xmlns:a="http://schemas.openxmlformats.org/drawingml/2006/main">
            <a:ext uri="{FF2B5EF4-FFF2-40B4-BE49-F238E27FC236}">
              <a16:creationId xmlns:a16="http://schemas.microsoft.com/office/drawing/2014/main" id="{8789841A-8957-F50C-8E19-1581398CDD20}"/>
            </a:ext>
          </a:extLst>
        </cdr:cNvPr>
        <cdr:cNvSpPr txBox="1"/>
      </cdr:nvSpPr>
      <cdr:spPr>
        <a:xfrm xmlns:a="http://schemas.openxmlformats.org/drawingml/2006/main" rot="150576">
          <a:off x="4037265" y="564147"/>
          <a:ext cx="2197768" cy="441158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/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50">
              <a:solidFill>
                <a:schemeClr val="accent2"/>
              </a:solidFill>
            </a:rPr>
            <a:t>1.2% Increase between 2016 - 2021</a:t>
          </a:r>
        </a:p>
      </cdr:txBody>
    </cdr:sp>
  </cdr:relSizeAnchor>
  <cdr:relSizeAnchor xmlns:cdr="http://schemas.openxmlformats.org/drawingml/2006/chartDrawing">
    <cdr:from>
      <cdr:x>0.52712</cdr:x>
      <cdr:y>0.17641</cdr:y>
    </cdr:from>
    <cdr:to>
      <cdr:x>0.76595</cdr:x>
      <cdr:y>0.19212</cdr:y>
    </cdr:to>
    <cdr:cxnSp macro="">
      <cdr:nvCxnSpPr>
        <cdr:cNvPr id="6" name="Straight Arrow Connector 5">
          <a:extLst xmlns:a="http://schemas.openxmlformats.org/drawingml/2006/main">
            <a:ext uri="{FF2B5EF4-FFF2-40B4-BE49-F238E27FC236}">
              <a16:creationId xmlns:a16="http://schemas.microsoft.com/office/drawing/2014/main" id="{B05B6735-EBFE-71C3-770D-DCB8B544892A}"/>
            </a:ext>
          </a:extLst>
        </cdr:cNvPr>
        <cdr:cNvCxnSpPr/>
      </cdr:nvCxnSpPr>
      <cdr:spPr>
        <a:xfrm xmlns:a="http://schemas.openxmlformats.org/drawingml/2006/main">
          <a:off x="4191151" y="847732"/>
          <a:ext cx="1898929" cy="75454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accent2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266700</xdr:colOff>
      <xdr:row>1</xdr:row>
      <xdr:rowOff>11430</xdr:rowOff>
    </xdr:from>
    <xdr:to>
      <xdr:col>15</xdr:col>
      <xdr:colOff>358140</xdr:colOff>
      <xdr:row>21</xdr:row>
      <xdr:rowOff>22860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E041B584-8FB2-B489-D500-6CBB69285737}"/>
            </a:ext>
          </a:extLst>
        </xdr:cNvPr>
        <xdr:cNvGrpSpPr/>
      </xdr:nvGrpSpPr>
      <xdr:grpSpPr>
        <a:xfrm>
          <a:off x="4533900" y="194310"/>
          <a:ext cx="6187440" cy="3669030"/>
          <a:chOff x="4655820" y="1946910"/>
          <a:chExt cx="6187440" cy="3669030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7F4A744C-E89F-1B59-22EA-FB9278176CA8}"/>
              </a:ext>
            </a:extLst>
          </xdr:cNvPr>
          <xdr:cNvGrpSpPr/>
        </xdr:nvGrpSpPr>
        <xdr:grpSpPr>
          <a:xfrm>
            <a:off x="4655820" y="1946910"/>
            <a:ext cx="6187440" cy="3669030"/>
            <a:chOff x="4419600" y="582930"/>
            <a:chExt cx="6187440" cy="3669030"/>
          </a:xfrm>
        </xdr:grpSpPr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D1CEB053-511C-C0A1-767F-C1EE650EEDEF}"/>
                </a:ext>
              </a:extLst>
            </xdr:cNvPr>
            <xdr:cNvGraphicFramePr/>
          </xdr:nvGraphicFramePr>
          <xdr:xfrm>
            <a:off x="4419600" y="582930"/>
            <a:ext cx="6187440" cy="366903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D6772CE4-FFE9-463A-9F77-C8E45CD0E1E7}"/>
                </a:ext>
              </a:extLst>
            </xdr:cNvPr>
            <xdr:cNvSpPr txBox="1"/>
          </xdr:nvSpPr>
          <xdr:spPr>
            <a:xfrm>
              <a:off x="7749540" y="1756410"/>
              <a:ext cx="1165860" cy="72009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AU" sz="1100" b="0" cap="none" spc="0">
                  <a:ln w="0"/>
                  <a:solidFill>
                    <a:schemeClr val="accent1"/>
                  </a:solidFill>
                  <a:effectLst>
                    <a:outerShdw blurRad="38100" dist="25400" dir="5400000" algn="ctr" rotWithShape="0">
                      <a:srgbClr val="6E747A">
                        <a:alpha val="43000"/>
                      </a:srgbClr>
                    </a:outerShdw>
                  </a:effectLst>
                </a:rPr>
                <a:t>11.4%</a:t>
              </a:r>
              <a:r>
                <a:rPr lang="en-AU" sz="1100" b="0" cap="none" spc="0" baseline="0">
                  <a:ln w="0"/>
                  <a:solidFill>
                    <a:schemeClr val="accent1"/>
                  </a:solidFill>
                  <a:effectLst>
                    <a:outerShdw blurRad="38100" dist="25400" dir="5400000" algn="ctr" rotWithShape="0">
                      <a:srgbClr val="6E747A">
                        <a:alpha val="43000"/>
                      </a:srgbClr>
                    </a:outerShdw>
                  </a:effectLst>
                </a:rPr>
                <a:t> decrease from </a:t>
              </a:r>
            </a:p>
            <a:p>
              <a:pPr algn="ctr"/>
              <a:r>
                <a:rPr lang="en-AU" sz="1100" b="0" cap="none" spc="0" baseline="0">
                  <a:ln w="0"/>
                  <a:solidFill>
                    <a:schemeClr val="accent1"/>
                  </a:solidFill>
                  <a:effectLst>
                    <a:outerShdw blurRad="38100" dist="25400" dir="5400000" algn="ctr" rotWithShape="0">
                      <a:srgbClr val="6E747A">
                        <a:alpha val="43000"/>
                      </a:srgbClr>
                    </a:outerShdw>
                  </a:effectLst>
                </a:rPr>
                <a:t>2016 - 2021</a:t>
              </a:r>
              <a:endParaRPr lang="en-AU" sz="1100" b="0" cap="none" spc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endParaRPr>
            </a:p>
          </xdr:txBody>
        </xdr:sp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1A65F3BD-4820-B4E6-2313-F43A31FAD780}"/>
                </a:ext>
              </a:extLst>
            </xdr:cNvPr>
            <xdr:cNvSpPr txBox="1"/>
          </xdr:nvSpPr>
          <xdr:spPr>
            <a:xfrm>
              <a:off x="6591300" y="1082040"/>
              <a:ext cx="1645920" cy="6096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AU" sz="1000">
                  <a:solidFill>
                    <a:schemeClr val="accent1"/>
                  </a:solidFill>
                </a:rPr>
                <a:t>13.1% Full time </a:t>
              </a:r>
              <a:r>
                <a:rPr lang="en-AU" sz="1000">
                  <a:solidFill>
                    <a:sysClr val="windowText" lastClr="000000"/>
                  </a:solidFill>
                </a:rPr>
                <a:t>and</a:t>
              </a:r>
              <a:r>
                <a:rPr lang="en-AU" sz="1000">
                  <a:solidFill>
                    <a:schemeClr val="bg2">
                      <a:lumMod val="50000"/>
                    </a:schemeClr>
                  </a:solidFill>
                </a:rPr>
                <a:t> </a:t>
              </a:r>
              <a:r>
                <a:rPr lang="en-AU" sz="1000">
                  <a:solidFill>
                    <a:srgbClr val="00B050"/>
                  </a:solidFill>
                </a:rPr>
                <a:t>1.4% unemployement </a:t>
              </a:r>
              <a:r>
                <a:rPr lang="en-AU" sz="1000">
                  <a:solidFill>
                    <a:sysClr val="windowText" lastClr="000000"/>
                  </a:solidFill>
                </a:rPr>
                <a:t>decrease</a:t>
              </a:r>
              <a:r>
                <a:rPr lang="en-AU" sz="1000" baseline="0">
                  <a:solidFill>
                    <a:sysClr val="windowText" lastClr="000000"/>
                  </a:solidFill>
                </a:rPr>
                <a:t> from 2011 - 2021</a:t>
              </a:r>
              <a:endParaRPr lang="en-AU" sz="1000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2312D943-3CF1-E453-FA90-FF17E0B50CF7}"/>
                </a:ext>
              </a:extLst>
            </xdr:cNvPr>
            <xdr:cNvSpPr txBox="1"/>
          </xdr:nvSpPr>
          <xdr:spPr>
            <a:xfrm>
              <a:off x="6004560" y="1565910"/>
              <a:ext cx="1120140" cy="72009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AU" sz="1100" b="0" cap="none" spc="0">
                  <a:ln w="0"/>
                  <a:solidFill>
                    <a:schemeClr val="accent1"/>
                  </a:solidFill>
                  <a:effectLst>
                    <a:outerShdw blurRad="38100" dist="25400" dir="5400000" algn="ctr" rotWithShape="0">
                      <a:srgbClr val="6E747A">
                        <a:alpha val="43000"/>
                      </a:srgbClr>
                    </a:outerShdw>
                  </a:effectLst>
                </a:rPr>
                <a:t>1.7%</a:t>
              </a:r>
              <a:r>
                <a:rPr lang="en-AU" sz="1100" b="0" cap="none" spc="0" baseline="0">
                  <a:ln w="0"/>
                  <a:solidFill>
                    <a:schemeClr val="accent1"/>
                  </a:solidFill>
                  <a:effectLst>
                    <a:outerShdw blurRad="38100" dist="25400" dir="5400000" algn="ctr" rotWithShape="0">
                      <a:srgbClr val="6E747A">
                        <a:alpha val="43000"/>
                      </a:srgbClr>
                    </a:outerShdw>
                  </a:effectLst>
                </a:rPr>
                <a:t> decrease from </a:t>
              </a:r>
            </a:p>
            <a:p>
              <a:pPr algn="ctr"/>
              <a:r>
                <a:rPr lang="en-AU" sz="1100" b="0" cap="none" spc="0" baseline="0">
                  <a:ln w="0"/>
                  <a:solidFill>
                    <a:schemeClr val="accent1"/>
                  </a:solidFill>
                  <a:effectLst>
                    <a:outerShdw blurRad="38100" dist="25400" dir="5400000" algn="ctr" rotWithShape="0">
                      <a:srgbClr val="6E747A">
                        <a:alpha val="43000"/>
                      </a:srgbClr>
                    </a:outerShdw>
                  </a:effectLst>
                </a:rPr>
                <a:t>2011 - 2016</a:t>
              </a:r>
              <a:endParaRPr lang="en-AU" sz="1100" b="0" cap="none" spc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endParaRPr>
            </a:p>
          </xdr:txBody>
        </xdr:sp>
        <xdr:sp macro="" textlink="">
          <xdr:nvSpPr>
            <xdr:cNvPr id="10" name="Arc 9">
              <a:extLst>
                <a:ext uri="{FF2B5EF4-FFF2-40B4-BE49-F238E27FC236}">
                  <a16:creationId xmlns:a16="http://schemas.microsoft.com/office/drawing/2014/main" id="{01E82A06-8A47-4B33-B033-DA26DA308815}"/>
                </a:ext>
              </a:extLst>
            </xdr:cNvPr>
            <xdr:cNvSpPr/>
          </xdr:nvSpPr>
          <xdr:spPr>
            <a:xfrm rot="19272661">
              <a:off x="7195696" y="1582893"/>
              <a:ext cx="2333620" cy="2656649"/>
            </a:xfrm>
            <a:prstGeom prst="arc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AU" sz="1100"/>
            </a:p>
          </xdr:txBody>
        </xdr:sp>
        <xdr:sp macro="" textlink="">
          <xdr:nvSpPr>
            <xdr:cNvPr id="18" name="Freeform: Shape 17">
              <a:extLst>
                <a:ext uri="{FF2B5EF4-FFF2-40B4-BE49-F238E27FC236}">
                  <a16:creationId xmlns:a16="http://schemas.microsoft.com/office/drawing/2014/main" id="{B653D337-3A92-FB49-32E2-F8AE9DDCE71A}"/>
                </a:ext>
              </a:extLst>
            </xdr:cNvPr>
            <xdr:cNvSpPr/>
          </xdr:nvSpPr>
          <xdr:spPr>
            <a:xfrm>
              <a:off x="5638800" y="913916"/>
              <a:ext cx="3604260" cy="1052044"/>
            </a:xfrm>
            <a:custGeom>
              <a:avLst/>
              <a:gdLst>
                <a:gd name="connsiteX0" fmla="*/ 0 w 3512820"/>
                <a:gd name="connsiteY0" fmla="*/ 678664 h 770104"/>
                <a:gd name="connsiteX1" fmla="*/ 1813560 w 3512820"/>
                <a:gd name="connsiteY1" fmla="*/ 484 h 770104"/>
                <a:gd name="connsiteX2" fmla="*/ 3512820 w 3512820"/>
                <a:gd name="connsiteY2" fmla="*/ 770104 h 77010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3512820" h="770104">
                  <a:moveTo>
                    <a:pt x="0" y="678664"/>
                  </a:moveTo>
                  <a:cubicBezTo>
                    <a:pt x="614045" y="331954"/>
                    <a:pt x="1228090" y="-14756"/>
                    <a:pt x="1813560" y="484"/>
                  </a:cubicBezTo>
                  <a:cubicBezTo>
                    <a:pt x="2399030" y="15724"/>
                    <a:pt x="2955925" y="392914"/>
                    <a:pt x="3512820" y="770104"/>
                  </a:cubicBezTo>
                </a:path>
              </a:pathLst>
            </a:custGeom>
            <a:noFill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AU" sz="1100"/>
            </a:p>
          </xdr:txBody>
        </xdr:sp>
      </xdr:grpSp>
      <xdr:sp macro="" textlink="">
        <xdr:nvSpPr>
          <xdr:cNvPr id="9" name="Arc 8">
            <a:extLst>
              <a:ext uri="{FF2B5EF4-FFF2-40B4-BE49-F238E27FC236}">
                <a16:creationId xmlns:a16="http://schemas.microsoft.com/office/drawing/2014/main" id="{3E00B079-E4EA-7C5D-CC2D-12D1B47E5D1A}"/>
              </a:ext>
            </a:extLst>
          </xdr:cNvPr>
          <xdr:cNvSpPr/>
        </xdr:nvSpPr>
        <xdr:spPr>
          <a:xfrm rot="18949993">
            <a:off x="5685458" y="2842971"/>
            <a:ext cx="2352703" cy="2444597"/>
          </a:xfrm>
          <a:prstGeom prst="arc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374584</xdr:colOff>
      <xdr:row>1</xdr:row>
      <xdr:rowOff>149392</xdr:rowOff>
    </xdr:from>
    <xdr:to>
      <xdr:col>18</xdr:col>
      <xdr:colOff>216569</xdr:colOff>
      <xdr:row>25</xdr:row>
      <xdr:rowOff>6818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6159B9B3-33F0-8565-608E-BF60485C4805}"/>
            </a:ext>
          </a:extLst>
        </xdr:cNvPr>
        <xdr:cNvGrpSpPr/>
      </xdr:nvGrpSpPr>
      <xdr:grpSpPr>
        <a:xfrm>
          <a:off x="4489384" y="333876"/>
          <a:ext cx="8376385" cy="4285047"/>
          <a:chOff x="4489384" y="333876"/>
          <a:chExt cx="8376385" cy="4285047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2D8792F8-2D96-6B03-7B79-81DF28C6C6DE}"/>
              </a:ext>
            </a:extLst>
          </xdr:cNvPr>
          <xdr:cNvGrpSpPr/>
        </xdr:nvGrpSpPr>
        <xdr:grpSpPr>
          <a:xfrm>
            <a:off x="4489384" y="333876"/>
            <a:ext cx="8376385" cy="4285047"/>
            <a:chOff x="3815615" y="502318"/>
            <a:chExt cx="8376385" cy="4285047"/>
          </a:xfrm>
        </xdr:grpSpPr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409C1B88-74B9-38F3-04ED-210483959639}"/>
                </a:ext>
              </a:extLst>
            </xdr:cNvPr>
            <xdr:cNvGraphicFramePr/>
          </xdr:nvGraphicFramePr>
          <xdr:xfrm>
            <a:off x="3815615" y="502318"/>
            <a:ext cx="8376385" cy="428504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851DCBEB-52B1-0BCF-BC23-A47677321BE8}"/>
                </a:ext>
              </a:extLst>
            </xdr:cNvPr>
            <xdr:cNvSpPr txBox="1"/>
          </xdr:nvSpPr>
          <xdr:spPr>
            <a:xfrm>
              <a:off x="5913120" y="2366211"/>
              <a:ext cx="1584960" cy="51535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AU" sz="1100">
                  <a:solidFill>
                    <a:schemeClr val="accent4"/>
                  </a:solidFill>
                </a:rPr>
                <a:t>Decrease by 2.70% From 2011 - 2016</a:t>
              </a:r>
            </a:p>
          </xdr:txBody>
        </xdr:sp>
      </xdr:grp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9A171866-E423-C222-42CB-283A5B2FA055}"/>
              </a:ext>
            </a:extLst>
          </xdr:cNvPr>
          <xdr:cNvCxnSpPr/>
        </xdr:nvCxnSpPr>
        <xdr:spPr>
          <a:xfrm flipV="1">
            <a:off x="6599722" y="2675421"/>
            <a:ext cx="1554480" cy="7620"/>
          </a:xfrm>
          <a:prstGeom prst="straightConnector1">
            <a:avLst/>
          </a:prstGeom>
          <a:ln>
            <a:solidFill>
              <a:schemeClr val="accent4"/>
            </a:solidFill>
            <a:tailEnd type="triangle"/>
          </a:ln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0.22526</cdr:x>
      <cdr:y>0.15852</cdr:y>
    </cdr:from>
    <cdr:to>
      <cdr:x>0.47953</cdr:x>
      <cdr:y>0.18925</cdr:y>
    </cdr:to>
    <cdr:cxnSp macro="">
      <cdr:nvCxnSpPr>
        <cdr:cNvPr id="10" name="Straight Arrow Connector 9">
          <a:extLst xmlns:a="http://schemas.openxmlformats.org/drawingml/2006/main">
            <a:ext uri="{FF2B5EF4-FFF2-40B4-BE49-F238E27FC236}">
              <a16:creationId xmlns:a16="http://schemas.microsoft.com/office/drawing/2014/main" id="{BECAC4B0-DAB0-E3A9-C05E-533E4FEFD2C7}"/>
            </a:ext>
          </a:extLst>
        </cdr:cNvPr>
        <cdr:cNvCxnSpPr/>
      </cdr:nvCxnSpPr>
      <cdr:spPr>
        <a:xfrm xmlns:a="http://schemas.openxmlformats.org/drawingml/2006/main" flipV="1">
          <a:off x="1467612" y="605790"/>
          <a:ext cx="1656588" cy="1174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accent2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0.20936</cdr:x>
      <cdr:y>0.08873</cdr:y>
    </cdr:from>
    <cdr:to>
      <cdr:x>0.42105</cdr:x>
      <cdr:y>0.15055</cdr:y>
    </cdr:to>
    <cdr:sp macro="" textlink="">
      <cdr:nvSpPr>
        <cdr:cNvPr id="11" name="TextBox 10">
          <a:extLst xmlns:a="http://schemas.openxmlformats.org/drawingml/2006/main">
            <a:ext uri="{FF2B5EF4-FFF2-40B4-BE49-F238E27FC236}">
              <a16:creationId xmlns:a16="http://schemas.microsoft.com/office/drawing/2014/main" id="{9F2B7079-91DC-9572-B1AA-D9EB2A153489}"/>
            </a:ext>
          </a:extLst>
        </cdr:cNvPr>
        <cdr:cNvSpPr txBox="1"/>
      </cdr:nvSpPr>
      <cdr:spPr>
        <a:xfrm xmlns:a="http://schemas.openxmlformats.org/drawingml/2006/main">
          <a:off x="1363980" y="339090"/>
          <a:ext cx="1379220" cy="2362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AU" sz="1100"/>
        </a:p>
      </cdr:txBody>
    </cdr:sp>
  </cdr:relSizeAnchor>
  <cdr:relSizeAnchor xmlns:cdr="http://schemas.openxmlformats.org/drawingml/2006/chartDrawing">
    <cdr:from>
      <cdr:x>0.21922</cdr:x>
      <cdr:y>0.08694</cdr:y>
    </cdr:from>
    <cdr:to>
      <cdr:x>0.55179</cdr:x>
      <cdr:y>0.21256</cdr:y>
    </cdr:to>
    <cdr:sp macro="" textlink="">
      <cdr:nvSpPr>
        <cdr:cNvPr id="12" name="TextBox 11">
          <a:extLst xmlns:a="http://schemas.openxmlformats.org/drawingml/2006/main">
            <a:ext uri="{FF2B5EF4-FFF2-40B4-BE49-F238E27FC236}">
              <a16:creationId xmlns:a16="http://schemas.microsoft.com/office/drawing/2014/main" id="{D0E6A2F2-FF5E-CE2C-0A1B-ABA662563C26}"/>
            </a:ext>
          </a:extLst>
        </cdr:cNvPr>
        <cdr:cNvSpPr txBox="1"/>
      </cdr:nvSpPr>
      <cdr:spPr>
        <a:xfrm xmlns:a="http://schemas.openxmlformats.org/drawingml/2006/main" rot="21404581">
          <a:off x="1835796" y="369319"/>
          <a:ext cx="2785067" cy="533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AU" sz="1100" b="1">
              <a:solidFill>
                <a:schemeClr val="accent2"/>
              </a:solidFill>
            </a:rPr>
            <a:t>Rise</a:t>
          </a:r>
          <a:r>
            <a:rPr lang="en-AU" sz="1100" b="1" baseline="0">
              <a:solidFill>
                <a:schemeClr val="accent2"/>
              </a:solidFill>
            </a:rPr>
            <a:t> in families income by 13.43%</a:t>
          </a:r>
        </a:p>
      </cdr:txBody>
    </cdr:sp>
  </cdr:relSizeAnchor>
  <cdr:relSizeAnchor xmlns:cdr="http://schemas.openxmlformats.org/drawingml/2006/chartDrawing">
    <cdr:from>
      <cdr:x>0.51891</cdr:x>
      <cdr:y>0.11665</cdr:y>
    </cdr:from>
    <cdr:to>
      <cdr:x>0.77427</cdr:x>
      <cdr:y>0.16565</cdr:y>
    </cdr:to>
    <cdr:cxnSp macro="">
      <cdr:nvCxnSpPr>
        <cdr:cNvPr id="16" name="Straight Arrow Connector 15">
          <a:extLst xmlns:a="http://schemas.openxmlformats.org/drawingml/2006/main">
            <a:ext uri="{FF2B5EF4-FFF2-40B4-BE49-F238E27FC236}">
              <a16:creationId xmlns:a16="http://schemas.microsoft.com/office/drawing/2014/main" id="{73134CBE-4CAE-A88B-43CD-0F554C6D47B1}"/>
            </a:ext>
          </a:extLst>
        </cdr:cNvPr>
        <cdr:cNvCxnSpPr/>
      </cdr:nvCxnSpPr>
      <cdr:spPr>
        <a:xfrm xmlns:a="http://schemas.openxmlformats.org/drawingml/2006/main" flipV="1">
          <a:off x="3380740" y="445770"/>
          <a:ext cx="1663700" cy="18725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accent2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0.49661</cdr:x>
      <cdr:y>0.06454</cdr:y>
    </cdr:from>
    <cdr:to>
      <cdr:x>0.82775</cdr:x>
      <cdr:y>0.19016</cdr:y>
    </cdr:to>
    <cdr:sp macro="" textlink="">
      <cdr:nvSpPr>
        <cdr:cNvPr id="18" name="TextBox 1">
          <a:extLst xmlns:a="http://schemas.openxmlformats.org/drawingml/2006/main">
            <a:ext uri="{FF2B5EF4-FFF2-40B4-BE49-F238E27FC236}">
              <a16:creationId xmlns:a16="http://schemas.microsoft.com/office/drawing/2014/main" id="{766A570A-1752-A315-8A42-7FB2FF4B5A57}"/>
            </a:ext>
          </a:extLst>
        </cdr:cNvPr>
        <cdr:cNvSpPr txBox="1"/>
      </cdr:nvSpPr>
      <cdr:spPr>
        <a:xfrm xmlns:a="http://schemas.openxmlformats.org/drawingml/2006/main" rot="21270147">
          <a:off x="3235484" y="246642"/>
          <a:ext cx="2157408" cy="4800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100" b="1">
              <a:solidFill>
                <a:schemeClr val="accent2"/>
              </a:solidFill>
            </a:rPr>
            <a:t>Rise</a:t>
          </a:r>
          <a:r>
            <a:rPr lang="en-AU" sz="1100" b="1" baseline="0">
              <a:solidFill>
                <a:schemeClr val="accent2"/>
              </a:solidFill>
            </a:rPr>
            <a:t> in families income by 15.79%</a:t>
          </a:r>
        </a:p>
      </cdr:txBody>
    </cdr:sp>
  </cdr:relSizeAnchor>
  <cdr:relSizeAnchor xmlns:cdr="http://schemas.openxmlformats.org/drawingml/2006/chartDrawing">
    <cdr:from>
      <cdr:x>0.52171</cdr:x>
      <cdr:y>0.41808</cdr:y>
    </cdr:from>
    <cdr:to>
      <cdr:x>0.71743</cdr:x>
      <cdr:y>0.53539</cdr:y>
    </cdr:to>
    <cdr:sp macro="" textlink="">
      <cdr:nvSpPr>
        <cdr:cNvPr id="2" name="TextBox 4">
          <a:extLst xmlns:a="http://schemas.openxmlformats.org/drawingml/2006/main">
            <a:ext uri="{FF2B5EF4-FFF2-40B4-BE49-F238E27FC236}">
              <a16:creationId xmlns:a16="http://schemas.microsoft.com/office/drawing/2014/main" id="{851DCBEB-52B1-0BCF-BC23-A47677321BE8}"/>
            </a:ext>
          </a:extLst>
        </cdr:cNvPr>
        <cdr:cNvSpPr txBox="1"/>
      </cdr:nvSpPr>
      <cdr:spPr>
        <a:xfrm xmlns:a="http://schemas.openxmlformats.org/drawingml/2006/main">
          <a:off x="3967480" y="1597660"/>
          <a:ext cx="1488440" cy="44831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/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100">
              <a:solidFill>
                <a:schemeClr val="accent4"/>
              </a:solidFill>
            </a:rPr>
            <a:t>Decrease by 5.10% From 2016 - 2021</a:t>
          </a:r>
        </a:p>
      </cdr:txBody>
    </cdr:sp>
  </cdr:relSizeAnchor>
  <cdr:relSizeAnchor xmlns:cdr="http://schemas.openxmlformats.org/drawingml/2006/chartDrawing">
    <cdr:from>
      <cdr:x>0.52872</cdr:x>
      <cdr:y>0.54342</cdr:y>
    </cdr:from>
    <cdr:to>
      <cdr:x>0.70312</cdr:x>
      <cdr:y>0.5437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9A171866-E423-C222-42CB-283A5B2FA055}"/>
            </a:ext>
          </a:extLst>
        </cdr:cNvPr>
        <cdr:cNvCxnSpPr/>
      </cdr:nvCxnSpPr>
      <cdr:spPr>
        <a:xfrm xmlns:a="http://schemas.openxmlformats.org/drawingml/2006/main" flipV="1">
          <a:off x="4020820" y="2076636"/>
          <a:ext cx="1326238" cy="1084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accent4"/>
          </a:solidFill>
          <a:tailEnd type="triangle"/>
        </a:ln>
      </cdr:spPr>
      <cdr:style>
        <a:lnRef xmlns:a="http://schemas.openxmlformats.org/drawingml/2006/main" idx="1">
          <a:schemeClr val="accent2"/>
        </a:lnRef>
        <a:fillRef xmlns:a="http://schemas.openxmlformats.org/drawingml/2006/main" idx="0">
          <a:schemeClr val="accent2"/>
        </a:fillRef>
        <a:effectRef xmlns:a="http://schemas.openxmlformats.org/drawingml/2006/main" idx="0">
          <a:schemeClr val="accent2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197224</xdr:colOff>
      <xdr:row>0</xdr:row>
      <xdr:rowOff>146423</xdr:rowOff>
    </xdr:from>
    <xdr:to>
      <xdr:col>19</xdr:col>
      <xdr:colOff>516964</xdr:colOff>
      <xdr:row>43</xdr:row>
      <xdr:rowOff>173318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2EB894D-9E55-E2B5-2F9C-C8FB8683BB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582706</xdr:colOff>
      <xdr:row>5</xdr:row>
      <xdr:rowOff>170329</xdr:rowOff>
    </xdr:from>
    <xdr:to>
      <xdr:col>5</xdr:col>
      <xdr:colOff>259976</xdr:colOff>
      <xdr:row>18</xdr:row>
      <xdr:rowOff>107577</xdr:rowOff>
    </xdr:to>
    <xdr:sp macro="" textlink="">
      <xdr:nvSpPr>
        <xdr:cNvPr id="6" name="Left Bracket 5">
          <a:extLst>
            <a:ext uri="{FF2B5EF4-FFF2-40B4-BE49-F238E27FC236}">
              <a16:creationId xmlns:a16="http://schemas.microsoft.com/office/drawing/2014/main" id="{8B511FF9-6489-2D91-04B0-F38618D0633B}"/>
            </a:ext>
          </a:extLst>
        </xdr:cNvPr>
        <xdr:cNvSpPr/>
      </xdr:nvSpPr>
      <xdr:spPr>
        <a:xfrm>
          <a:off x="4697506" y="1066800"/>
          <a:ext cx="286870" cy="2268071"/>
        </a:xfrm>
        <a:prstGeom prst="leftBracket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251012</xdr:colOff>
      <xdr:row>9</xdr:row>
      <xdr:rowOff>170328</xdr:rowOff>
    </xdr:from>
    <xdr:to>
      <xdr:col>4</xdr:col>
      <xdr:colOff>528918</xdr:colOff>
      <xdr:row>14</xdr:row>
      <xdr:rowOff>143434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14807C29-7EFE-DCA9-2677-48624346FF68}"/>
            </a:ext>
          </a:extLst>
        </xdr:cNvPr>
        <xdr:cNvSpPr txBox="1"/>
      </xdr:nvSpPr>
      <xdr:spPr>
        <a:xfrm rot="16200000">
          <a:off x="4069976" y="2079811"/>
          <a:ext cx="869577" cy="277906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 b="1"/>
            <a:t>Ownership</a:t>
          </a:r>
        </a:p>
      </xdr:txBody>
    </xdr:sp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0.51483</cdr:x>
      <cdr:y>0.09</cdr:y>
    </cdr:from>
    <cdr:to>
      <cdr:x>0.53929</cdr:x>
      <cdr:y>0.16435</cdr:y>
    </cdr:to>
    <cdr:sp macro="" textlink="">
      <cdr:nvSpPr>
        <cdr:cNvPr id="2" name="Arrow: Up 1">
          <a:extLst xmlns:a="http://schemas.openxmlformats.org/drawingml/2006/main">
            <a:ext uri="{FF2B5EF4-FFF2-40B4-BE49-F238E27FC236}">
              <a16:creationId xmlns:a16="http://schemas.microsoft.com/office/drawing/2014/main" id="{66DEF901-8433-C325-4D5C-1A371D898650}"/>
            </a:ext>
          </a:extLst>
        </cdr:cNvPr>
        <cdr:cNvSpPr/>
      </cdr:nvSpPr>
      <cdr:spPr>
        <a:xfrm xmlns:a="http://schemas.openxmlformats.org/drawingml/2006/main">
          <a:off x="4872201" y="696259"/>
          <a:ext cx="231504" cy="575235"/>
        </a:xfrm>
        <a:prstGeom xmlns:a="http://schemas.openxmlformats.org/drawingml/2006/main" prst="upArrow">
          <a:avLst/>
        </a:prstGeom>
        <a:solidFill xmlns:a="http://schemas.openxmlformats.org/drawingml/2006/main">
          <a:schemeClr val="accent6"/>
        </a:solidFill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0.55869</cdr:x>
      <cdr:y>0.09193</cdr:y>
    </cdr:from>
    <cdr:to>
      <cdr:x>0.78312</cdr:x>
      <cdr:y>0.17014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93DFF142-A0E7-FA02-D86E-35583BA1A172}"/>
            </a:ext>
          </a:extLst>
        </cdr:cNvPr>
        <cdr:cNvSpPr txBox="1"/>
      </cdr:nvSpPr>
      <cdr:spPr>
        <a:xfrm xmlns:a="http://schemas.openxmlformats.org/drawingml/2006/main">
          <a:off x="5287311" y="711200"/>
          <a:ext cx="2123960" cy="6051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AU" sz="1100">
              <a:solidFill>
                <a:schemeClr val="accent6"/>
              </a:solidFill>
            </a:rPr>
            <a:t>Substantial increase by</a:t>
          </a:r>
          <a:r>
            <a:rPr lang="en-AU" sz="1100" baseline="0">
              <a:solidFill>
                <a:schemeClr val="accent6"/>
              </a:solidFill>
            </a:rPr>
            <a:t> 5.4% and 2.5% </a:t>
          </a:r>
          <a:r>
            <a:rPr kumimoji="0" lang="en-AU" sz="1100" b="0" i="0" u="none" strike="noStrike" kern="0" cap="none" spc="0" normalizeH="0" baseline="0" noProof="0">
              <a:ln>
                <a:noFill/>
              </a:ln>
              <a:solidFill>
                <a:srgbClr val="70AD47"/>
              </a:solidFill>
              <a:effectLst/>
              <a:uLnTx/>
              <a:uFillTx/>
              <a:latin typeface="+mn-lt"/>
              <a:ea typeface="+mn-ea"/>
              <a:cs typeface="+mn-cs"/>
            </a:rPr>
            <a:t>between</a:t>
          </a:r>
          <a:r>
            <a:rPr lang="en-AU" sz="1100" baseline="0">
              <a:solidFill>
                <a:schemeClr val="accent6"/>
              </a:solidFill>
            </a:rPr>
            <a:t> 2011 - 2016 and 2016 - 2021 Respectively</a:t>
          </a:r>
          <a:endParaRPr lang="en-AU" sz="1100">
            <a:solidFill>
              <a:schemeClr val="accent6"/>
            </a:solidFill>
          </a:endParaRPr>
        </a:p>
      </cdr:txBody>
    </cdr:sp>
  </cdr:relSizeAnchor>
  <cdr:relSizeAnchor xmlns:cdr="http://schemas.openxmlformats.org/drawingml/2006/chartDrawing">
    <cdr:from>
      <cdr:x>0.74718</cdr:x>
      <cdr:y>0.2302</cdr:y>
    </cdr:from>
    <cdr:to>
      <cdr:x>0.77164</cdr:x>
      <cdr:y>0.30456</cdr:y>
    </cdr:to>
    <cdr:sp macro="" textlink="">
      <cdr:nvSpPr>
        <cdr:cNvPr id="4" name="Arrow: Up 3">
          <a:extLst xmlns:a="http://schemas.openxmlformats.org/drawingml/2006/main">
            <a:ext uri="{FF2B5EF4-FFF2-40B4-BE49-F238E27FC236}">
              <a16:creationId xmlns:a16="http://schemas.microsoft.com/office/drawing/2014/main" id="{F89E886D-A5A2-B755-CBAC-2734E8815409}"/>
            </a:ext>
          </a:extLst>
        </cdr:cNvPr>
        <cdr:cNvSpPr/>
      </cdr:nvSpPr>
      <cdr:spPr>
        <a:xfrm xmlns:a="http://schemas.openxmlformats.org/drawingml/2006/main" rot="10800000">
          <a:off x="6586071" y="1780989"/>
          <a:ext cx="215623" cy="575235"/>
        </a:xfrm>
        <a:prstGeom xmlns:a="http://schemas.openxmlformats.org/drawingml/2006/main" prst="upArrow">
          <a:avLst/>
        </a:prstGeom>
        <a:solidFill xmlns:a="http://schemas.openxmlformats.org/drawingml/2006/main">
          <a:srgbClr val="FF0000"/>
        </a:solidFill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0.77778</cdr:x>
      <cdr:y>0.22441</cdr:y>
    </cdr:from>
    <cdr:to>
      <cdr:x>0.96779</cdr:x>
      <cdr:y>0.31363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4244E878-EDD5-8799-0EA1-6915A2A6F38C}"/>
            </a:ext>
          </a:extLst>
        </cdr:cNvPr>
        <cdr:cNvSpPr txBox="1"/>
      </cdr:nvSpPr>
      <cdr:spPr>
        <a:xfrm xmlns:a="http://schemas.openxmlformats.org/drawingml/2006/main">
          <a:off x="6855816" y="1736163"/>
          <a:ext cx="1674850" cy="690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1100">
              <a:solidFill>
                <a:srgbClr val="FF0000"/>
              </a:solidFill>
            </a:rPr>
            <a:t>Decreased by</a:t>
          </a:r>
          <a:r>
            <a:rPr lang="en-AU" sz="1100" baseline="0">
              <a:solidFill>
                <a:srgbClr val="FF0000"/>
              </a:solidFill>
            </a:rPr>
            <a:t> 7.80% in 2011 - 2016 and 4.70% in 2016 - 2021</a:t>
          </a:r>
          <a:endParaRPr lang="en-AU" sz="11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0.438</cdr:x>
      <cdr:y>0.36964</cdr:y>
    </cdr:from>
    <cdr:to>
      <cdr:x>0.46247</cdr:x>
      <cdr:y>0.44399</cdr:y>
    </cdr:to>
    <cdr:sp macro="" textlink="">
      <cdr:nvSpPr>
        <cdr:cNvPr id="6" name="Arrow: Up 5">
          <a:extLst xmlns:a="http://schemas.openxmlformats.org/drawingml/2006/main">
            <a:ext uri="{FF2B5EF4-FFF2-40B4-BE49-F238E27FC236}">
              <a16:creationId xmlns:a16="http://schemas.microsoft.com/office/drawing/2014/main" id="{3B986A18-8767-D8F8-0488-3D3D944D4E1C}"/>
            </a:ext>
          </a:extLst>
        </cdr:cNvPr>
        <cdr:cNvSpPr/>
      </cdr:nvSpPr>
      <cdr:spPr>
        <a:xfrm xmlns:a="http://schemas.openxmlformats.org/drawingml/2006/main">
          <a:off x="3860800" y="2859741"/>
          <a:ext cx="215623" cy="575235"/>
        </a:xfrm>
        <a:prstGeom xmlns:a="http://schemas.openxmlformats.org/drawingml/2006/main" prst="upArrow">
          <a:avLst/>
        </a:prstGeom>
        <a:solidFill xmlns:a="http://schemas.openxmlformats.org/drawingml/2006/main">
          <a:schemeClr val="accent6"/>
        </a:solidFill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0.48187</cdr:x>
      <cdr:y>0.36578</cdr:y>
    </cdr:from>
    <cdr:to>
      <cdr:x>0.69613</cdr:x>
      <cdr:y>0.44399</cdr:y>
    </cdr:to>
    <cdr:sp macro="" textlink="">
      <cdr:nvSpPr>
        <cdr:cNvPr id="7" name="TextBox 2">
          <a:extLst xmlns:a="http://schemas.openxmlformats.org/drawingml/2006/main">
            <a:ext uri="{FF2B5EF4-FFF2-40B4-BE49-F238E27FC236}">
              <a16:creationId xmlns:a16="http://schemas.microsoft.com/office/drawing/2014/main" id="{880819ED-DBA4-2D00-F003-2F2ADAF7830D}"/>
            </a:ext>
          </a:extLst>
        </cdr:cNvPr>
        <cdr:cNvSpPr txBox="1"/>
      </cdr:nvSpPr>
      <cdr:spPr>
        <a:xfrm xmlns:a="http://schemas.openxmlformats.org/drawingml/2006/main">
          <a:off x="4247435" y="2829858"/>
          <a:ext cx="1888614" cy="6051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1100">
              <a:solidFill>
                <a:schemeClr val="accent6"/>
              </a:solidFill>
            </a:rPr>
            <a:t>An Increase by</a:t>
          </a:r>
          <a:r>
            <a:rPr lang="en-AU" sz="1100" baseline="0">
              <a:solidFill>
                <a:schemeClr val="accent6"/>
              </a:solidFill>
            </a:rPr>
            <a:t> 3.4% and 1.8% between 2011 - 2016 and 2016 - 2021 Respectively</a:t>
          </a:r>
          <a:endParaRPr lang="en-AU" sz="1100">
            <a:solidFill>
              <a:schemeClr val="accent6"/>
            </a:solidFill>
          </a:endParaRPr>
        </a:p>
      </cdr:txBody>
    </cdr:sp>
  </cdr:relSizeAnchor>
  <cdr:relSizeAnchor xmlns:cdr="http://schemas.openxmlformats.org/drawingml/2006/chartDrawing">
    <cdr:from>
      <cdr:x>0.33407</cdr:x>
      <cdr:y>0.49903</cdr:y>
    </cdr:from>
    <cdr:to>
      <cdr:x>0.5911</cdr:x>
      <cdr:y>0.5871</cdr:y>
    </cdr:to>
    <cdr:sp macro="" textlink="">
      <cdr:nvSpPr>
        <cdr:cNvPr id="8" name="TextBox 2">
          <a:extLst xmlns:a="http://schemas.openxmlformats.org/drawingml/2006/main">
            <a:ext uri="{FF2B5EF4-FFF2-40B4-BE49-F238E27FC236}">
              <a16:creationId xmlns:a16="http://schemas.microsoft.com/office/drawing/2014/main" id="{2364DF11-3478-8C93-2C89-937850CBB047}"/>
            </a:ext>
          </a:extLst>
        </cdr:cNvPr>
        <cdr:cNvSpPr txBox="1"/>
      </cdr:nvSpPr>
      <cdr:spPr>
        <a:xfrm xmlns:a="http://schemas.openxmlformats.org/drawingml/2006/main">
          <a:off x="3161553" y="3860800"/>
          <a:ext cx="2432423" cy="6813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1100">
              <a:solidFill>
                <a:srgbClr val="FF0000"/>
              </a:solidFill>
            </a:rPr>
            <a:t>Decrease by</a:t>
          </a:r>
          <a:r>
            <a:rPr lang="en-AU" sz="1100" baseline="0">
              <a:solidFill>
                <a:srgbClr val="FF0000"/>
              </a:solidFill>
            </a:rPr>
            <a:t> 0.3%  between 2011 - 2016 </a:t>
          </a:r>
          <a:r>
            <a:rPr lang="en-AU" sz="1100" baseline="0">
              <a:solidFill>
                <a:sysClr val="windowText" lastClr="000000"/>
              </a:solidFill>
            </a:rPr>
            <a:t>and</a:t>
          </a:r>
          <a:r>
            <a:rPr lang="en-AU" sz="1100" baseline="0">
              <a:solidFill>
                <a:schemeClr val="accent6"/>
              </a:solidFill>
            </a:rPr>
            <a:t> Increase by 0.6% between 2016 - 2021</a:t>
          </a:r>
          <a:endParaRPr lang="en-AU" sz="1100">
            <a:solidFill>
              <a:schemeClr val="accent6"/>
            </a:solidFill>
          </a:endParaRPr>
        </a:p>
      </cdr:txBody>
    </cdr:sp>
  </cdr:relSizeAnchor>
  <cdr:relSizeAnchor xmlns:cdr="http://schemas.openxmlformats.org/drawingml/2006/chartDrawing">
    <cdr:from>
      <cdr:x>0.38901</cdr:x>
      <cdr:y>0.64426</cdr:y>
    </cdr:from>
    <cdr:to>
      <cdr:x>0.41347</cdr:x>
      <cdr:y>0.71862</cdr:y>
    </cdr:to>
    <cdr:sp macro="" textlink="">
      <cdr:nvSpPr>
        <cdr:cNvPr id="9" name="Arrow: Up 8">
          <a:extLst xmlns:a="http://schemas.openxmlformats.org/drawingml/2006/main">
            <a:ext uri="{FF2B5EF4-FFF2-40B4-BE49-F238E27FC236}">
              <a16:creationId xmlns:a16="http://schemas.microsoft.com/office/drawing/2014/main" id="{D1DF2C8B-2F16-72D7-5428-3F0C2DEE611B}"/>
            </a:ext>
          </a:extLst>
        </cdr:cNvPr>
        <cdr:cNvSpPr/>
      </cdr:nvSpPr>
      <cdr:spPr>
        <a:xfrm xmlns:a="http://schemas.openxmlformats.org/drawingml/2006/main">
          <a:off x="3681506" y="4984378"/>
          <a:ext cx="231504" cy="575235"/>
        </a:xfrm>
        <a:prstGeom xmlns:a="http://schemas.openxmlformats.org/drawingml/2006/main" prst="upArrow">
          <a:avLst/>
        </a:prstGeom>
        <a:solidFill xmlns:a="http://schemas.openxmlformats.org/drawingml/2006/main">
          <a:schemeClr val="accent6"/>
        </a:solidFill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0.43288</cdr:x>
      <cdr:y>0.6404</cdr:y>
    </cdr:from>
    <cdr:to>
      <cdr:x>0.64714</cdr:x>
      <cdr:y>0.71862</cdr:y>
    </cdr:to>
    <cdr:sp macro="" textlink="">
      <cdr:nvSpPr>
        <cdr:cNvPr id="10" name="TextBox 2">
          <a:extLst xmlns:a="http://schemas.openxmlformats.org/drawingml/2006/main">
            <a:ext uri="{FF2B5EF4-FFF2-40B4-BE49-F238E27FC236}">
              <a16:creationId xmlns:a16="http://schemas.microsoft.com/office/drawing/2014/main" id="{83039D4D-A56B-80FA-01D2-FB443EFA1A37}"/>
            </a:ext>
          </a:extLst>
        </cdr:cNvPr>
        <cdr:cNvSpPr txBox="1"/>
      </cdr:nvSpPr>
      <cdr:spPr>
        <a:xfrm xmlns:a="http://schemas.openxmlformats.org/drawingml/2006/main">
          <a:off x="4096617" y="4954495"/>
          <a:ext cx="2027710" cy="6051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1100">
              <a:solidFill>
                <a:schemeClr val="accent6"/>
              </a:solidFill>
            </a:rPr>
            <a:t>An Increase by</a:t>
          </a:r>
          <a:r>
            <a:rPr lang="en-AU" sz="1100" baseline="0">
              <a:solidFill>
                <a:schemeClr val="accent6"/>
              </a:solidFill>
            </a:rPr>
            <a:t> 2.5% and 0.7% between 2011 - 2016 and 2016 - 2021 Respectively</a:t>
          </a:r>
          <a:endParaRPr lang="en-AU" sz="1100">
            <a:solidFill>
              <a:schemeClr val="accent6"/>
            </a:solidFill>
          </a:endParaRPr>
        </a:p>
      </cdr:txBody>
    </cdr:sp>
  </cdr:relSizeAnchor>
  <cdr:relSizeAnchor xmlns:cdr="http://schemas.openxmlformats.org/drawingml/2006/chartDrawing">
    <cdr:from>
      <cdr:x>0.96021</cdr:x>
      <cdr:y>0.78293</cdr:y>
    </cdr:from>
    <cdr:to>
      <cdr:x>0.98468</cdr:x>
      <cdr:y>0.85728</cdr:y>
    </cdr:to>
    <cdr:sp macro="" textlink="">
      <cdr:nvSpPr>
        <cdr:cNvPr id="11" name="Arrow: Up 10">
          <a:extLst xmlns:a="http://schemas.openxmlformats.org/drawingml/2006/main">
            <a:ext uri="{FF2B5EF4-FFF2-40B4-BE49-F238E27FC236}">
              <a16:creationId xmlns:a16="http://schemas.microsoft.com/office/drawing/2014/main" id="{A57CAD7E-4600-0443-547D-E5A65C6D21E9}"/>
            </a:ext>
          </a:extLst>
        </cdr:cNvPr>
        <cdr:cNvSpPr/>
      </cdr:nvSpPr>
      <cdr:spPr>
        <a:xfrm xmlns:a="http://schemas.openxmlformats.org/drawingml/2006/main" rot="10800000">
          <a:off x="9087223" y="6057153"/>
          <a:ext cx="231503" cy="575235"/>
        </a:xfrm>
        <a:prstGeom xmlns:a="http://schemas.openxmlformats.org/drawingml/2006/main" prst="upArrow">
          <a:avLst/>
        </a:prstGeom>
        <a:solidFill xmlns:a="http://schemas.openxmlformats.org/drawingml/2006/main">
          <a:srgbClr val="FF0000"/>
        </a:solidFill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0.03221</cdr:x>
      <cdr:y>0.54538</cdr:y>
    </cdr:from>
    <cdr:to>
      <cdr:x>0.05494</cdr:x>
      <cdr:y>0.82348</cdr:y>
    </cdr:to>
    <cdr:sp macro="" textlink="">
      <cdr:nvSpPr>
        <cdr:cNvPr id="23" name="Left Bracket 22">
          <a:extLst xmlns:a="http://schemas.openxmlformats.org/drawingml/2006/main">
            <a:ext uri="{FF2B5EF4-FFF2-40B4-BE49-F238E27FC236}">
              <a16:creationId xmlns:a16="http://schemas.microsoft.com/office/drawing/2014/main" id="{5CCCFA5C-E948-B58A-C185-3EE21F91211C}"/>
            </a:ext>
          </a:extLst>
        </cdr:cNvPr>
        <cdr:cNvSpPr/>
      </cdr:nvSpPr>
      <cdr:spPr>
        <a:xfrm xmlns:a="http://schemas.openxmlformats.org/drawingml/2006/main">
          <a:off x="304800" y="4219389"/>
          <a:ext cx="215152" cy="2151529"/>
        </a:xfrm>
        <a:prstGeom xmlns:a="http://schemas.openxmlformats.org/drawingml/2006/main" prst="leftBracket">
          <a:avLst/>
        </a:prstGeom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0.29902</cdr:x>
      <cdr:y>0.50367</cdr:y>
    </cdr:from>
    <cdr:to>
      <cdr:x>0.32348</cdr:x>
      <cdr:y>0.57802</cdr:y>
    </cdr:to>
    <cdr:sp macro="" textlink="">
      <cdr:nvSpPr>
        <cdr:cNvPr id="24" name="Arrow: Up 23">
          <a:extLst xmlns:a="http://schemas.openxmlformats.org/drawingml/2006/main">
            <a:ext uri="{FF2B5EF4-FFF2-40B4-BE49-F238E27FC236}">
              <a16:creationId xmlns:a16="http://schemas.microsoft.com/office/drawing/2014/main" id="{66D74E77-CE32-2C6D-A36A-D56E3006AF55}"/>
            </a:ext>
          </a:extLst>
        </cdr:cNvPr>
        <cdr:cNvSpPr/>
      </cdr:nvSpPr>
      <cdr:spPr>
        <a:xfrm xmlns:a="http://schemas.openxmlformats.org/drawingml/2006/main">
          <a:off x="2829859" y="3896659"/>
          <a:ext cx="231504" cy="575235"/>
        </a:xfrm>
        <a:prstGeom xmlns:a="http://schemas.openxmlformats.org/drawingml/2006/main" prst="upArrow">
          <a:avLst/>
        </a:prstGeom>
        <a:solidFill xmlns:a="http://schemas.openxmlformats.org/drawingml/2006/main">
          <a:srgbClr val="FFC000"/>
        </a:solidFill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22193</xdr:colOff>
      <xdr:row>0</xdr:row>
      <xdr:rowOff>22194</xdr:rowOff>
    </xdr:from>
    <xdr:to>
      <xdr:col>17</xdr:col>
      <xdr:colOff>96174</xdr:colOff>
      <xdr:row>27</xdr:row>
      <xdr:rowOff>29592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E6E6A7D-5821-A17F-A11C-A8D895FEA752}"/>
            </a:ext>
          </a:extLst>
        </xdr:cNvPr>
        <xdr:cNvGrpSpPr/>
      </xdr:nvGrpSpPr>
      <xdr:grpSpPr>
        <a:xfrm>
          <a:off x="5803454" y="22194"/>
          <a:ext cx="7428937" cy="4745050"/>
          <a:chOff x="5803454" y="22194"/>
          <a:chExt cx="7428937" cy="4745050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37000154-1B25-7FF9-57A6-22BA06B7B8B8}"/>
              </a:ext>
            </a:extLst>
          </xdr:cNvPr>
          <xdr:cNvGraphicFramePr/>
        </xdr:nvGraphicFramePr>
        <xdr:xfrm>
          <a:off x="5803454" y="22194"/>
          <a:ext cx="7428937" cy="4745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7" name="Arrow: Right 6">
            <a:extLst>
              <a:ext uri="{FF2B5EF4-FFF2-40B4-BE49-F238E27FC236}">
                <a16:creationId xmlns:a16="http://schemas.microsoft.com/office/drawing/2014/main" id="{A10A6A1E-0AF0-6957-538A-65522DA5C6A6}"/>
              </a:ext>
            </a:extLst>
          </xdr:cNvPr>
          <xdr:cNvSpPr/>
        </xdr:nvSpPr>
        <xdr:spPr>
          <a:xfrm>
            <a:off x="6542134" y="665022"/>
            <a:ext cx="2666196" cy="903687"/>
          </a:xfrm>
          <a:prstGeom prst="rightArrow">
            <a:avLst/>
          </a:prstGeom>
          <a:solidFill>
            <a:schemeClr val="bg2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000" b="1">
                <a:solidFill>
                  <a:schemeClr val="accent4"/>
                </a:solidFill>
              </a:rPr>
              <a:t>Increase</a:t>
            </a:r>
            <a:r>
              <a:rPr lang="en-AU" sz="1000" b="1" baseline="0">
                <a:solidFill>
                  <a:schemeClr val="accent4"/>
                </a:solidFill>
              </a:rPr>
              <a:t>d Demand by 66.03 </a:t>
            </a:r>
            <a:r>
              <a:rPr lang="en-AU" sz="1000" b="0" baseline="0">
                <a:solidFill>
                  <a:sysClr val="windowText" lastClr="000000"/>
                </a:solidFill>
              </a:rPr>
              <a:t>and </a:t>
            </a:r>
            <a:r>
              <a:rPr lang="en-AU" sz="1000" b="0" baseline="0">
                <a:solidFill>
                  <a:schemeClr val="accent5">
                    <a:lumMod val="75000"/>
                  </a:schemeClr>
                </a:solidFill>
              </a:rPr>
              <a:t>decrease in Ratio of QD by 0.03 </a:t>
            </a:r>
            <a:r>
              <a:rPr lang="en-AU" sz="1000" b="0" baseline="0">
                <a:solidFill>
                  <a:sysClr val="windowText" lastClr="000000"/>
                </a:solidFill>
              </a:rPr>
              <a:t>from 2011 -2016</a:t>
            </a:r>
          </a:p>
        </xdr:txBody>
      </xdr:sp>
    </xdr:grpSp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0.49522</cdr:x>
      <cdr:y>0.12373</cdr:y>
    </cdr:from>
    <cdr:to>
      <cdr:x>0.8741</cdr:x>
      <cdr:y>0.32815</cdr:y>
    </cdr:to>
    <cdr:sp macro="" textlink="">
      <cdr:nvSpPr>
        <cdr:cNvPr id="3" name="Arrow: Right 2">
          <a:extLst xmlns:a="http://schemas.openxmlformats.org/drawingml/2006/main">
            <a:ext uri="{FF2B5EF4-FFF2-40B4-BE49-F238E27FC236}">
              <a16:creationId xmlns:a16="http://schemas.microsoft.com/office/drawing/2014/main" id="{A10A6A1E-0AF0-6957-538A-65522DA5C6A6}"/>
            </a:ext>
          </a:extLst>
        </cdr:cNvPr>
        <cdr:cNvSpPr/>
      </cdr:nvSpPr>
      <cdr:spPr>
        <a:xfrm xmlns:a="http://schemas.openxmlformats.org/drawingml/2006/main">
          <a:off x="3550081" y="577049"/>
          <a:ext cx="2716075" cy="953364"/>
        </a:xfrm>
        <a:prstGeom xmlns:a="http://schemas.openxmlformats.org/drawingml/2006/main" prst="rightArrow">
          <a:avLst/>
        </a:prstGeom>
        <a:solidFill xmlns:a="http://schemas.openxmlformats.org/drawingml/2006/main">
          <a:schemeClr val="bg2"/>
        </a:solidFill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AU" sz="1000" b="1">
              <a:solidFill>
                <a:schemeClr val="accent1"/>
              </a:solidFill>
            </a:rPr>
            <a:t>With increase in TPD</a:t>
          </a:r>
          <a:r>
            <a:rPr lang="en-AU" sz="1000" b="1" baseline="0">
              <a:solidFill>
                <a:sysClr val="windowText" lastClr="000000"/>
              </a:solidFill>
            </a:rPr>
            <a:t> </a:t>
          </a:r>
          <a:r>
            <a:rPr lang="en-AU" sz="1000" b="0" baseline="0">
              <a:solidFill>
                <a:sysClr val="windowText" lastClr="000000"/>
              </a:solidFill>
            </a:rPr>
            <a:t>and </a:t>
          </a:r>
          <a:r>
            <a:rPr lang="en-AU" sz="1000" b="0" baseline="0">
              <a:solidFill>
                <a:schemeClr val="accent4"/>
              </a:solidFill>
            </a:rPr>
            <a:t>Demand</a:t>
          </a:r>
          <a:r>
            <a:rPr lang="en-AU" sz="1000" b="0" baseline="0">
              <a:solidFill>
                <a:sysClr val="windowText" lastClr="000000"/>
              </a:solidFill>
            </a:rPr>
            <a:t> by </a:t>
          </a:r>
          <a:r>
            <a:rPr lang="en-AU" sz="1000" b="1" baseline="0">
              <a:solidFill>
                <a:schemeClr val="accent1"/>
              </a:solidFill>
            </a:rPr>
            <a:t>54</a:t>
          </a:r>
          <a:r>
            <a:rPr lang="en-AU" sz="1000" b="0" baseline="0">
              <a:solidFill>
                <a:sysClr val="windowText" lastClr="000000"/>
              </a:solidFill>
            </a:rPr>
            <a:t> and </a:t>
          </a:r>
          <a:r>
            <a:rPr lang="en-AU" sz="1000" b="0" baseline="0">
              <a:solidFill>
                <a:schemeClr val="accent4"/>
              </a:solidFill>
            </a:rPr>
            <a:t>46.5</a:t>
          </a:r>
          <a:r>
            <a:rPr lang="en-AU" sz="1000" b="0" baseline="0">
              <a:solidFill>
                <a:sysClr val="windowText" lastClr="000000"/>
              </a:solidFill>
            </a:rPr>
            <a:t> respectively, </a:t>
          </a:r>
          <a:r>
            <a:rPr lang="en-AU" sz="1000" b="0" baseline="0">
              <a:solidFill>
                <a:schemeClr val="accent5">
                  <a:lumMod val="75000"/>
                </a:schemeClr>
              </a:solidFill>
            </a:rPr>
            <a:t>the ratio of QD remanins constant</a:t>
          </a:r>
          <a:endParaRPr lang="en-AU" sz="1000" b="0">
            <a:solidFill>
              <a:schemeClr val="accent5">
                <a:lumMod val="75000"/>
              </a:schemeClr>
            </a:solidFill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571500</xdr:colOff>
      <xdr:row>1</xdr:row>
      <xdr:rowOff>125730</xdr:rowOff>
    </xdr:from>
    <xdr:to>
      <xdr:col>18</xdr:col>
      <xdr:colOff>381000</xdr:colOff>
      <xdr:row>28</xdr:row>
      <xdr:rowOff>91440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4D61F5D-8742-C587-75A0-51817AF68B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0.24566</cdr:x>
      <cdr:y>0.10831</cdr:y>
    </cdr:from>
    <cdr:to>
      <cdr:x>0.4758</cdr:x>
      <cdr:y>0.29639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FCD7B7C7-FED9-30FC-B5DD-3192A5F4A452}"/>
            </a:ext>
          </a:extLst>
        </cdr:cNvPr>
        <cdr:cNvCxnSpPr/>
      </cdr:nvCxnSpPr>
      <cdr:spPr>
        <a:xfrm xmlns:a="http://schemas.openxmlformats.org/drawingml/2006/main" flipV="1">
          <a:off x="2049780" y="491490"/>
          <a:ext cx="1920240" cy="853440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0.54307</cdr:x>
      <cdr:y>0.11027</cdr:y>
    </cdr:from>
    <cdr:to>
      <cdr:x>0.77169</cdr:x>
      <cdr:y>0.2796</cdr:y>
    </cdr:to>
    <cdr:cxnSp macro="">
      <cdr:nvCxnSpPr>
        <cdr:cNvPr id="4" name="Straight Arrow Connector 3">
          <a:extLst xmlns:a="http://schemas.openxmlformats.org/drawingml/2006/main">
            <a:ext uri="{FF2B5EF4-FFF2-40B4-BE49-F238E27FC236}">
              <a16:creationId xmlns:a16="http://schemas.microsoft.com/office/drawing/2014/main" id="{36DC8EC8-765F-0F48-9711-55731D4F784A}"/>
            </a:ext>
          </a:extLst>
        </cdr:cNvPr>
        <cdr:cNvCxnSpPr/>
      </cdr:nvCxnSpPr>
      <cdr:spPr>
        <a:xfrm xmlns:a="http://schemas.openxmlformats.org/drawingml/2006/main">
          <a:off x="4531360" y="500380"/>
          <a:ext cx="1907540" cy="768350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0.21735</cdr:x>
      <cdr:y>0.13182</cdr:y>
    </cdr:from>
    <cdr:to>
      <cdr:x>0.43744</cdr:x>
      <cdr:y>0.26113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5D49C944-C385-10B1-2D1B-E59C254EFB8B}"/>
            </a:ext>
          </a:extLst>
        </cdr:cNvPr>
        <cdr:cNvSpPr txBox="1"/>
      </cdr:nvSpPr>
      <cdr:spPr>
        <a:xfrm xmlns:a="http://schemas.openxmlformats.org/drawingml/2006/main" rot="20163578">
          <a:off x="1813560" y="598170"/>
          <a:ext cx="1836420" cy="5867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AU" sz="1100">
              <a:solidFill>
                <a:schemeClr val="accent1"/>
              </a:solidFill>
            </a:rPr>
            <a:t>Increase in population by 109 between 2011-2016</a:t>
          </a:r>
        </a:p>
      </cdr:txBody>
    </cdr:sp>
  </cdr:relSizeAnchor>
  <cdr:relSizeAnchor xmlns:cdr="http://schemas.openxmlformats.org/drawingml/2006/chartDrawing">
    <cdr:from>
      <cdr:x>0.57047</cdr:x>
      <cdr:y>0.11699</cdr:y>
    </cdr:from>
    <cdr:to>
      <cdr:x>0.79056</cdr:x>
      <cdr:y>0.24629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476B6532-00BB-4031-8236-F2BB471EFAF9}"/>
            </a:ext>
          </a:extLst>
        </cdr:cNvPr>
        <cdr:cNvSpPr txBox="1"/>
      </cdr:nvSpPr>
      <cdr:spPr>
        <a:xfrm xmlns:a="http://schemas.openxmlformats.org/drawingml/2006/main" rot="1334450">
          <a:off x="4759960" y="530860"/>
          <a:ext cx="1836420" cy="5867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1100">
              <a:solidFill>
                <a:schemeClr val="accent1"/>
              </a:solidFill>
            </a:rPr>
            <a:t>Decrease in population by 104 between 2016-2021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0</xdr:row>
      <xdr:rowOff>102870</xdr:rowOff>
    </xdr:from>
    <xdr:to>
      <xdr:col>18</xdr:col>
      <xdr:colOff>381000</xdr:colOff>
      <xdr:row>30</xdr:row>
      <xdr:rowOff>7620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5757E56B-A14B-111A-6224-2A89D888C5D1}"/>
            </a:ext>
          </a:extLst>
        </xdr:cNvPr>
        <xdr:cNvGrpSpPr/>
      </xdr:nvGrpSpPr>
      <xdr:grpSpPr>
        <a:xfrm>
          <a:off x="5951220" y="102870"/>
          <a:ext cx="7604760" cy="4476750"/>
          <a:chOff x="6179820" y="681990"/>
          <a:chExt cx="7604760" cy="4476750"/>
        </a:xfrm>
      </xdr:grpSpPr>
      <xdr:grpSp>
        <xdr:nvGrpSpPr>
          <xdr:cNvPr id="11" name="Group 10">
            <a:extLst>
              <a:ext uri="{FF2B5EF4-FFF2-40B4-BE49-F238E27FC236}">
                <a16:creationId xmlns:a16="http://schemas.microsoft.com/office/drawing/2014/main" id="{BF8619C5-B170-1D83-F72C-41EB879AB90E}"/>
              </a:ext>
            </a:extLst>
          </xdr:cNvPr>
          <xdr:cNvGrpSpPr/>
        </xdr:nvGrpSpPr>
        <xdr:grpSpPr>
          <a:xfrm>
            <a:off x="6179820" y="681990"/>
            <a:ext cx="7604760" cy="4476750"/>
            <a:chOff x="6179820" y="681990"/>
            <a:chExt cx="7604760" cy="4476750"/>
          </a:xfrm>
        </xdr:grpSpPr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FAF3EE93-3CC8-AD8A-0F82-BE380894B786}"/>
                </a:ext>
              </a:extLst>
            </xdr:cNvPr>
            <xdr:cNvGraphicFramePr/>
          </xdr:nvGraphicFramePr>
          <xdr:xfrm>
            <a:off x="6179820" y="681990"/>
            <a:ext cx="7604760" cy="447675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838241F2-C3EE-32CE-74AB-AB0166B95787}"/>
                </a:ext>
              </a:extLst>
            </xdr:cNvPr>
            <xdr:cNvSpPr txBox="1"/>
          </xdr:nvSpPr>
          <xdr:spPr>
            <a:xfrm rot="21154947">
              <a:off x="7726680" y="1371600"/>
              <a:ext cx="1920240" cy="25908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AU" sz="1100">
                  <a:solidFill>
                    <a:schemeClr val="accent4">
                      <a:lumMod val="75000"/>
                    </a:schemeClr>
                  </a:solidFill>
                </a:rPr>
                <a:t>Increase in Savings by 181.51</a:t>
              </a:r>
            </a:p>
          </xdr:txBody>
        </xdr:sp>
        <xdr:cxnSp macro="">
          <xdr:nvCxnSpPr>
            <xdr:cNvPr id="5" name="Straight Arrow Connector 4">
              <a:extLst>
                <a:ext uri="{FF2B5EF4-FFF2-40B4-BE49-F238E27FC236}">
                  <a16:creationId xmlns:a16="http://schemas.microsoft.com/office/drawing/2014/main" id="{AFCDAA8B-66BE-BB0E-99BE-86AA65360B81}"/>
                </a:ext>
              </a:extLst>
            </xdr:cNvPr>
            <xdr:cNvCxnSpPr/>
          </xdr:nvCxnSpPr>
          <xdr:spPr>
            <a:xfrm flipV="1">
              <a:off x="7818120" y="1516380"/>
              <a:ext cx="1897380" cy="236220"/>
            </a:xfrm>
            <a:prstGeom prst="straightConnector1">
              <a:avLst/>
            </a:prstGeom>
            <a:ln>
              <a:solidFill>
                <a:schemeClr val="accent4">
                  <a:lumMod val="75000"/>
                </a:schemeClr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" name="Straight Arrow Connector 5">
              <a:extLst>
                <a:ext uri="{FF2B5EF4-FFF2-40B4-BE49-F238E27FC236}">
                  <a16:creationId xmlns:a16="http://schemas.microsoft.com/office/drawing/2014/main" id="{D8297B57-BB1F-411B-997B-204DF92C52DD}"/>
                </a:ext>
              </a:extLst>
            </xdr:cNvPr>
            <xdr:cNvCxnSpPr/>
          </xdr:nvCxnSpPr>
          <xdr:spPr>
            <a:xfrm flipV="1">
              <a:off x="9928860" y="1127760"/>
              <a:ext cx="1859280" cy="327660"/>
            </a:xfrm>
            <a:prstGeom prst="straightConnector1">
              <a:avLst/>
            </a:prstGeom>
            <a:ln>
              <a:solidFill>
                <a:schemeClr val="accent4">
                  <a:lumMod val="75000"/>
                </a:schemeClr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320D75AD-96D1-4124-B653-3C7CB0CC92D0}"/>
                </a:ext>
              </a:extLst>
            </xdr:cNvPr>
            <xdr:cNvSpPr txBox="1"/>
          </xdr:nvSpPr>
          <xdr:spPr>
            <a:xfrm rot="21032851">
              <a:off x="9806940" y="1028700"/>
              <a:ext cx="1920240" cy="25908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AU" sz="1100">
                  <a:solidFill>
                    <a:schemeClr val="accent4">
                      <a:lumMod val="75000"/>
                    </a:schemeClr>
                  </a:solidFill>
                </a:rPr>
                <a:t>Increase in Savings by 278.49</a:t>
              </a:r>
            </a:p>
          </xdr:txBody>
        </xdr:sp>
      </xdr:grp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F78F3649-A42B-DD84-C3E3-7B5D44FF9F99}"/>
              </a:ext>
            </a:extLst>
          </xdr:cNvPr>
          <xdr:cNvSpPr txBox="1"/>
        </xdr:nvSpPr>
        <xdr:spPr>
          <a:xfrm>
            <a:off x="10576560" y="2941320"/>
            <a:ext cx="1546860" cy="4572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AU" sz="1100">
                <a:solidFill>
                  <a:schemeClr val="accent4">
                    <a:lumMod val="75000"/>
                  </a:schemeClr>
                </a:solidFill>
              </a:rPr>
              <a:t>Decrease</a:t>
            </a:r>
            <a:r>
              <a:rPr lang="en-AU" sz="1100" baseline="0">
                <a:solidFill>
                  <a:schemeClr val="accent4">
                    <a:lumMod val="75000"/>
                  </a:schemeClr>
                </a:solidFill>
              </a:rPr>
              <a:t> in number of Mortgages</a:t>
            </a:r>
            <a:endParaRPr lang="en-AU" sz="1100">
              <a:solidFill>
                <a:schemeClr val="accent4">
                  <a:lumMod val="75000"/>
                </a:schemeClr>
              </a:solidFill>
            </a:endParaRPr>
          </a:p>
        </xdr:txBody>
      </xdr:sp>
      <xdr:sp macro="" textlink="">
        <xdr:nvSpPr>
          <xdr:cNvPr id="15" name="Freeform: Shape 14">
            <a:extLst>
              <a:ext uri="{FF2B5EF4-FFF2-40B4-BE49-F238E27FC236}">
                <a16:creationId xmlns:a16="http://schemas.microsoft.com/office/drawing/2014/main" id="{A0D46662-A0DD-621E-CD67-823543C4D656}"/>
              </a:ext>
            </a:extLst>
          </xdr:cNvPr>
          <xdr:cNvSpPr/>
        </xdr:nvSpPr>
        <xdr:spPr>
          <a:xfrm>
            <a:off x="8442960" y="2685968"/>
            <a:ext cx="3916680" cy="628732"/>
          </a:xfrm>
          <a:custGeom>
            <a:avLst/>
            <a:gdLst>
              <a:gd name="connsiteX0" fmla="*/ 0 w 3916680"/>
              <a:gd name="connsiteY0" fmla="*/ 628732 h 628732"/>
              <a:gd name="connsiteX1" fmla="*/ 1889760 w 3916680"/>
              <a:gd name="connsiteY1" fmla="*/ 11512 h 628732"/>
              <a:gd name="connsiteX2" fmla="*/ 3916680 w 3916680"/>
              <a:gd name="connsiteY2" fmla="*/ 285832 h 6287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916680" h="628732">
                <a:moveTo>
                  <a:pt x="0" y="628732"/>
                </a:moveTo>
                <a:cubicBezTo>
                  <a:pt x="618490" y="348697"/>
                  <a:pt x="1236980" y="68662"/>
                  <a:pt x="1889760" y="11512"/>
                </a:cubicBezTo>
                <a:cubicBezTo>
                  <a:pt x="2542540" y="-45638"/>
                  <a:pt x="3229610" y="120097"/>
                  <a:pt x="3916680" y="285832"/>
                </a:cubicBezTo>
              </a:path>
            </a:pathLst>
          </a:custGeom>
          <a:ln w="19050" cap="flat" cmpd="sng" algn="ctr">
            <a:solidFill>
              <a:schemeClr val="accent2"/>
            </a:solidFill>
            <a:prstDash val="solid"/>
            <a:round/>
            <a:headEnd type="none" w="med" len="med"/>
            <a:tailEnd type="arrow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510540</xdr:colOff>
      <xdr:row>0</xdr:row>
      <xdr:rowOff>140970</xdr:rowOff>
    </xdr:from>
    <xdr:to>
      <xdr:col>18</xdr:col>
      <xdr:colOff>365760</xdr:colOff>
      <xdr:row>30</xdr:row>
      <xdr:rowOff>15240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C1A67BE-680D-E5B5-4D23-52450E9FA5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220095</xdr:colOff>
      <xdr:row>13</xdr:row>
      <xdr:rowOff>84267</xdr:rowOff>
    </xdr:from>
    <xdr:to>
      <xdr:col>14</xdr:col>
      <xdr:colOff>415160</xdr:colOff>
      <xdr:row>16</xdr:row>
      <xdr:rowOff>36171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8873A67A-6722-B977-4C40-840058760D8B}"/>
            </a:ext>
          </a:extLst>
        </xdr:cNvPr>
        <xdr:cNvSpPr/>
      </xdr:nvSpPr>
      <xdr:spPr>
        <a:xfrm rot="20403895">
          <a:off x="7100955" y="1730187"/>
          <a:ext cx="3852665" cy="500544"/>
        </a:xfrm>
        <a:prstGeom prst="rightArrow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100" b="1">
              <a:solidFill>
                <a:schemeClr val="accent4">
                  <a:lumMod val="50000"/>
                </a:schemeClr>
              </a:solidFill>
            </a:rPr>
            <a:t>Rapid</a:t>
          </a:r>
          <a:r>
            <a:rPr lang="en-AU" sz="1100" b="1" baseline="0">
              <a:solidFill>
                <a:schemeClr val="accent4">
                  <a:lumMod val="50000"/>
                </a:schemeClr>
              </a:solidFill>
            </a:rPr>
            <a:t> increase in Median House Prices</a:t>
          </a:r>
          <a:endParaRPr lang="en-AU" sz="1100" b="1">
            <a:solidFill>
              <a:schemeClr val="accent4">
                <a:lumMod val="50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19</xdr:row>
      <xdr:rowOff>167640</xdr:rowOff>
    </xdr:from>
    <xdr:to>
      <xdr:col>10</xdr:col>
      <xdr:colOff>106680</xdr:colOff>
      <xdr:row>23</xdr:row>
      <xdr:rowOff>38100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D88CE6CA-CD35-2A44-D4C6-5718D1659CD3}"/>
            </a:ext>
          </a:extLst>
        </xdr:cNvPr>
        <xdr:cNvSpPr/>
      </xdr:nvSpPr>
      <xdr:spPr>
        <a:xfrm>
          <a:off x="6880860" y="2910840"/>
          <a:ext cx="1325880" cy="601980"/>
        </a:xfrm>
        <a:prstGeom prst="rightArrow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050">
              <a:solidFill>
                <a:schemeClr val="tx1"/>
              </a:solidFill>
            </a:rPr>
            <a:t>2.16% Growth</a:t>
          </a:r>
        </a:p>
      </xdr:txBody>
    </xdr:sp>
    <xdr:clientData/>
  </xdr:twoCellAnchor>
  <xdr:twoCellAnchor>
    <xdr:from>
      <xdr:col>11</xdr:col>
      <xdr:colOff>541020</xdr:colOff>
      <xdr:row>18</xdr:row>
      <xdr:rowOff>175260</xdr:rowOff>
    </xdr:from>
    <xdr:to>
      <xdr:col>13</xdr:col>
      <xdr:colOff>548640</xdr:colOff>
      <xdr:row>21</xdr:row>
      <xdr:rowOff>99060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FF9E6186-3B50-4660-A7C0-6DC7C39D81FD}"/>
            </a:ext>
          </a:extLst>
        </xdr:cNvPr>
        <xdr:cNvSpPr/>
      </xdr:nvSpPr>
      <xdr:spPr>
        <a:xfrm>
          <a:off x="9250680" y="2735580"/>
          <a:ext cx="1226820" cy="472440"/>
        </a:xfrm>
        <a:prstGeom prst="rightArrow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100">
              <a:solidFill>
                <a:schemeClr val="tx1"/>
              </a:solidFill>
            </a:rPr>
            <a:t>0.39% Growth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877AB-4D61-4E64-B1DE-B8D63128DA45}">
  <sheetPr codeName="Sheet1"/>
  <dimension ref="A1:D52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G13" sqref="G13"/>
    </sheetView>
  </sheetViews>
  <sheetFormatPr defaultRowHeight="14.4"/>
  <cols>
    <col min="1" max="1" width="40.33203125" style="17" bestFit="1" customWidth="1"/>
    <col min="2" max="2" width="11.6640625" bestFit="1" customWidth="1"/>
    <col min="3" max="4" width="11.6640625" customWidth="1"/>
  </cols>
  <sheetData>
    <row r="1" spans="1:4">
      <c r="A1" s="2" t="s">
        <v>3</v>
      </c>
      <c r="B1" s="1" t="s">
        <v>52</v>
      </c>
      <c r="C1" s="1" t="s">
        <v>52</v>
      </c>
      <c r="D1" s="1" t="s">
        <v>52</v>
      </c>
    </row>
    <row r="2" spans="1:4">
      <c r="A2" s="2" t="s">
        <v>4</v>
      </c>
      <c r="B2" s="2" t="s">
        <v>0</v>
      </c>
      <c r="C2" s="2" t="s">
        <v>1</v>
      </c>
      <c r="D2" s="2" t="s">
        <v>2</v>
      </c>
    </row>
    <row r="3" spans="1:4">
      <c r="A3" s="3" t="s">
        <v>5</v>
      </c>
      <c r="B3" s="30">
        <v>350000</v>
      </c>
      <c r="C3" s="30">
        <v>595000</v>
      </c>
      <c r="D3" s="30">
        <v>740000</v>
      </c>
    </row>
    <row r="4" spans="1:4">
      <c r="A4" s="3" t="s">
        <v>6</v>
      </c>
      <c r="B4" s="49">
        <v>315000</v>
      </c>
      <c r="C4" s="46"/>
      <c r="D4" s="50">
        <v>554995</v>
      </c>
    </row>
    <row r="5" spans="1:4">
      <c r="A5" s="4" t="s">
        <v>7</v>
      </c>
      <c r="B5" s="39">
        <v>603</v>
      </c>
      <c r="C5" s="28">
        <v>680</v>
      </c>
      <c r="D5" s="25">
        <v>787</v>
      </c>
    </row>
    <row r="6" spans="1:4">
      <c r="A6" s="4" t="s">
        <v>8</v>
      </c>
      <c r="B6" s="39">
        <v>1495</v>
      </c>
      <c r="C6" s="28">
        <v>1727</v>
      </c>
      <c r="D6" s="25">
        <v>2051</v>
      </c>
    </row>
    <row r="7" spans="1:4">
      <c r="A7" s="4" t="s">
        <v>9</v>
      </c>
      <c r="B7" s="39">
        <v>1498</v>
      </c>
      <c r="C7" s="28">
        <v>1718</v>
      </c>
      <c r="D7" s="25">
        <v>2018</v>
      </c>
    </row>
    <row r="8" spans="1:4">
      <c r="A8" s="4" t="s">
        <v>10</v>
      </c>
      <c r="B8" s="47">
        <f>2000/4.345</f>
        <v>460.2991944764097</v>
      </c>
      <c r="C8" s="47">
        <f>1950/4.345</f>
        <v>448.79171461449943</v>
      </c>
      <c r="D8" s="25">
        <f>2000/4.345</f>
        <v>460.2991944764097</v>
      </c>
    </row>
    <row r="9" spans="1:4">
      <c r="A9" s="4" t="s">
        <v>11</v>
      </c>
      <c r="B9" s="28">
        <v>350</v>
      </c>
      <c r="C9" s="25">
        <v>400</v>
      </c>
      <c r="D9" s="25">
        <v>410</v>
      </c>
    </row>
    <row r="10" spans="1:4">
      <c r="A10" s="5" t="s">
        <v>12</v>
      </c>
      <c r="B10" s="41">
        <v>4396</v>
      </c>
      <c r="C10" s="40">
        <v>4505</v>
      </c>
      <c r="D10" s="21">
        <v>4401</v>
      </c>
    </row>
    <row r="11" spans="1:4">
      <c r="A11" s="5" t="s">
        <v>13</v>
      </c>
      <c r="B11" s="26">
        <v>28</v>
      </c>
      <c r="C11" s="26">
        <v>30</v>
      </c>
      <c r="D11" s="21">
        <v>32</v>
      </c>
    </row>
    <row r="12" spans="1:4">
      <c r="A12" s="5" t="s">
        <v>14</v>
      </c>
      <c r="B12" s="26">
        <v>1138</v>
      </c>
      <c r="C12" s="38">
        <v>1151</v>
      </c>
      <c r="D12" s="21">
        <v>1173</v>
      </c>
    </row>
    <row r="13" spans="1:4">
      <c r="A13" s="5" t="s">
        <v>55</v>
      </c>
      <c r="B13" s="26">
        <v>1266</v>
      </c>
      <c r="C13" s="29">
        <v>1295</v>
      </c>
      <c r="D13" s="21">
        <v>1349</v>
      </c>
    </row>
    <row r="14" spans="1:4">
      <c r="A14" s="6" t="s">
        <v>15</v>
      </c>
      <c r="B14" s="62">
        <v>0.53700000000000003</v>
      </c>
      <c r="C14" s="62">
        <v>0.48799999999999999</v>
      </c>
      <c r="D14" s="6">
        <v>0.49099999999999999</v>
      </c>
    </row>
    <row r="15" spans="1:4">
      <c r="A15" s="6" t="s">
        <v>16</v>
      </c>
      <c r="B15" s="63">
        <v>8.5000000000000006E-2</v>
      </c>
      <c r="C15" s="64">
        <v>9.0999999999999998E-2</v>
      </c>
      <c r="D15" s="31">
        <v>9.5000000000000001E-2</v>
      </c>
    </row>
    <row r="16" spans="1:4">
      <c r="A16" s="6" t="s">
        <v>17</v>
      </c>
      <c r="B16" s="65">
        <v>2.5999999999999999E-2</v>
      </c>
      <c r="C16" s="64">
        <v>2.7000000000000003E-2</v>
      </c>
      <c r="D16" s="31">
        <v>2.7E-2</v>
      </c>
    </row>
    <row r="17" spans="1:4">
      <c r="A17" s="6" t="s">
        <v>18</v>
      </c>
      <c r="B17" s="66">
        <v>0.35200000000000004</v>
      </c>
      <c r="C17" s="67">
        <v>0.39399999999999996</v>
      </c>
      <c r="D17" s="31">
        <v>0.38700000000000001</v>
      </c>
    </row>
    <row r="18" spans="1:4">
      <c r="A18" s="7" t="s">
        <v>19</v>
      </c>
      <c r="B18" s="68">
        <v>0.59200000000000008</v>
      </c>
      <c r="C18" s="69">
        <v>0.58399999999999996</v>
      </c>
      <c r="D18" s="32">
        <v>0.57499999999999996</v>
      </c>
    </row>
    <row r="19" spans="1:4">
      <c r="A19" s="8" t="s">
        <v>20</v>
      </c>
      <c r="B19" s="70">
        <v>0.63900000000000001</v>
      </c>
      <c r="C19" s="71">
        <v>0.622</v>
      </c>
      <c r="D19" s="42">
        <v>0.50800000000000001</v>
      </c>
    </row>
    <row r="20" spans="1:4">
      <c r="A20" s="8" t="s">
        <v>21</v>
      </c>
      <c r="B20" s="70">
        <v>0.23100000000000001</v>
      </c>
      <c r="C20" s="71">
        <v>0.26300000000000001</v>
      </c>
      <c r="D20" s="43">
        <v>0.29600000000000004</v>
      </c>
    </row>
    <row r="21" spans="1:4">
      <c r="A21" s="9" t="s">
        <v>22</v>
      </c>
      <c r="B21" s="57">
        <v>7.400000000000001E-2</v>
      </c>
      <c r="C21" s="58">
        <v>6.8000000000000005E-2</v>
      </c>
      <c r="D21" s="34">
        <v>0.06</v>
      </c>
    </row>
    <row r="22" spans="1:4">
      <c r="A22" s="10" t="s">
        <v>23</v>
      </c>
      <c r="B22" s="72">
        <v>0.152</v>
      </c>
      <c r="C22" s="73">
        <v>0.154</v>
      </c>
      <c r="D22" s="35">
        <v>4.5999999999999999E-2</v>
      </c>
    </row>
    <row r="23" spans="1:4">
      <c r="A23" s="10" t="s">
        <v>24</v>
      </c>
      <c r="B23" s="72">
        <v>0.71099999999999997</v>
      </c>
      <c r="C23" s="73">
        <v>0.78799999999999992</v>
      </c>
      <c r="D23" s="35">
        <v>0.57899999999999996</v>
      </c>
    </row>
    <row r="24" spans="1:4">
      <c r="A24" s="11" t="s">
        <v>25</v>
      </c>
      <c r="B24" s="72">
        <v>1.9</v>
      </c>
      <c r="C24" s="73">
        <v>2.1</v>
      </c>
      <c r="D24" s="36">
        <v>2.1</v>
      </c>
    </row>
    <row r="25" spans="1:4">
      <c r="A25" s="18" t="s">
        <v>57</v>
      </c>
      <c r="B25" s="74">
        <v>0.17499999999999999</v>
      </c>
      <c r="C25" s="75">
        <v>0.182</v>
      </c>
      <c r="D25" s="33">
        <v>0.22500000000000001</v>
      </c>
    </row>
    <row r="26" spans="1:4">
      <c r="A26" s="18" t="s">
        <v>58</v>
      </c>
      <c r="B26" s="74">
        <v>0.64800000000000002</v>
      </c>
      <c r="C26" s="75">
        <v>0.621</v>
      </c>
      <c r="D26" s="33">
        <v>0.56999999999999995</v>
      </c>
    </row>
    <row r="27" spans="1:4">
      <c r="A27" s="18" t="s">
        <v>26</v>
      </c>
      <c r="B27" s="74">
        <v>0.17</v>
      </c>
      <c r="C27" s="75">
        <v>0.18100000000000002</v>
      </c>
      <c r="D27" s="33">
        <v>0.188</v>
      </c>
    </row>
    <row r="28" spans="1:4">
      <c r="A28" s="18" t="s">
        <v>27</v>
      </c>
      <c r="B28" s="74">
        <v>7.0000000000000001E-3</v>
      </c>
      <c r="C28" s="75">
        <v>1.7000000000000001E-2</v>
      </c>
      <c r="D28" s="33">
        <v>1.2E-2</v>
      </c>
    </row>
    <row r="29" spans="1:4">
      <c r="A29" s="19" t="s">
        <v>28</v>
      </c>
      <c r="B29" s="68">
        <v>0.96900000000000008</v>
      </c>
      <c r="C29" s="76">
        <v>0.9840000000000001</v>
      </c>
      <c r="D29" s="32">
        <v>0.97</v>
      </c>
    </row>
    <row r="30" spans="1:4">
      <c r="A30" s="19" t="s">
        <v>29</v>
      </c>
      <c r="B30" s="68">
        <v>3.1E-2</v>
      </c>
      <c r="C30" s="76">
        <v>1.6E-2</v>
      </c>
      <c r="D30" s="32">
        <v>2.7999999999999997E-2</v>
      </c>
    </row>
    <row r="31" spans="1:4">
      <c r="A31" s="12" t="s">
        <v>30</v>
      </c>
      <c r="B31" s="77">
        <v>1</v>
      </c>
      <c r="C31" s="78">
        <v>0.96599999999999997</v>
      </c>
      <c r="D31" s="37">
        <v>0.95499999999999996</v>
      </c>
    </row>
    <row r="32" spans="1:4">
      <c r="A32" s="12" t="s">
        <v>31</v>
      </c>
      <c r="B32" s="77">
        <v>0</v>
      </c>
      <c r="C32" s="79">
        <v>0.03</v>
      </c>
      <c r="D32" s="37">
        <v>3.2000000000000001E-2</v>
      </c>
    </row>
    <row r="33" spans="1:4">
      <c r="A33" s="12" t="s">
        <v>32</v>
      </c>
      <c r="B33" s="77">
        <v>0</v>
      </c>
      <c r="C33" s="80">
        <v>0</v>
      </c>
      <c r="D33" s="80">
        <v>1.2999999999999999E-2</v>
      </c>
    </row>
    <row r="34" spans="1:4">
      <c r="A34" s="6" t="s">
        <v>33</v>
      </c>
      <c r="B34" s="66">
        <v>0</v>
      </c>
      <c r="C34" s="64">
        <v>5.0000000000000001E-3</v>
      </c>
      <c r="D34" s="31">
        <v>0</v>
      </c>
    </row>
    <row r="35" spans="1:4">
      <c r="A35" s="6" t="s">
        <v>34</v>
      </c>
      <c r="B35" s="66">
        <v>0</v>
      </c>
      <c r="C35" s="64">
        <v>1.1000000000000001E-2</v>
      </c>
      <c r="D35" s="31">
        <v>2E-3</v>
      </c>
    </row>
    <row r="36" spans="1:4">
      <c r="A36" s="6" t="s">
        <v>35</v>
      </c>
      <c r="B36" s="66">
        <v>1.2E-2</v>
      </c>
      <c r="C36" s="64">
        <v>2.5000000000000001E-2</v>
      </c>
      <c r="D36" s="31">
        <v>0.05</v>
      </c>
    </row>
    <row r="37" spans="1:4">
      <c r="A37" s="6" t="s">
        <v>36</v>
      </c>
      <c r="B37" s="66">
        <v>0.60099999999999998</v>
      </c>
      <c r="C37" s="67">
        <v>0.55799999999999994</v>
      </c>
      <c r="D37" s="31">
        <v>0.53600000000000003</v>
      </c>
    </row>
    <row r="38" spans="1:4">
      <c r="A38" s="6" t="s">
        <v>37</v>
      </c>
      <c r="B38" s="66">
        <v>0.36499999999999999</v>
      </c>
      <c r="C38" s="67">
        <v>0.38400000000000001</v>
      </c>
      <c r="D38" s="31">
        <v>0.39700000000000002</v>
      </c>
    </row>
    <row r="39" spans="1:4">
      <c r="A39" s="13" t="s">
        <v>38</v>
      </c>
      <c r="B39" s="44">
        <v>3.4</v>
      </c>
      <c r="C39" s="44">
        <v>3.4</v>
      </c>
      <c r="D39" s="44">
        <v>3.5</v>
      </c>
    </row>
    <row r="40" spans="1:4">
      <c r="A40" s="13" t="s">
        <v>39</v>
      </c>
      <c r="B40" s="44">
        <v>3.6</v>
      </c>
      <c r="C40" s="44">
        <v>3.5</v>
      </c>
      <c r="D40" s="44">
        <v>3.3</v>
      </c>
    </row>
    <row r="41" spans="1:4">
      <c r="A41" s="14" t="s">
        <v>40</v>
      </c>
      <c r="B41" s="54">
        <v>0.14499999999999999</v>
      </c>
      <c r="C41" s="55">
        <v>0.17899999999999999</v>
      </c>
      <c r="D41" s="45">
        <v>0.19699999999999998</v>
      </c>
    </row>
    <row r="42" spans="1:4">
      <c r="A42" s="14" t="s">
        <v>41</v>
      </c>
      <c r="B42" s="56">
        <v>0.61499999999999999</v>
      </c>
      <c r="C42" s="55">
        <v>0.53799999999999992</v>
      </c>
      <c r="D42" s="45">
        <v>0.49099999999999999</v>
      </c>
    </row>
    <row r="43" spans="1:4">
      <c r="A43" s="14" t="s">
        <v>42</v>
      </c>
      <c r="B43" s="56">
        <v>0.21100000000000002</v>
      </c>
      <c r="C43" s="55">
        <v>0.26500000000000001</v>
      </c>
      <c r="D43" s="45">
        <v>0.28999999999999998</v>
      </c>
    </row>
    <row r="44" spans="1:4">
      <c r="A44" s="20" t="s">
        <v>43</v>
      </c>
      <c r="B44" s="56">
        <v>0.90500000000000003</v>
      </c>
      <c r="C44" s="55">
        <v>0.88700000000000001</v>
      </c>
      <c r="D44" s="45">
        <v>0.872</v>
      </c>
    </row>
    <row r="45" spans="1:4">
      <c r="A45" s="20" t="s">
        <v>44</v>
      </c>
      <c r="B45" s="56">
        <v>8.5000000000000006E-2</v>
      </c>
      <c r="C45" s="55">
        <v>0.106</v>
      </c>
      <c r="D45" s="45">
        <v>0.113</v>
      </c>
    </row>
    <row r="46" spans="1:4">
      <c r="A46" s="20" t="s">
        <v>45</v>
      </c>
      <c r="B46" s="56">
        <v>0.01</v>
      </c>
      <c r="C46" s="55">
        <v>7.0000000000000001E-3</v>
      </c>
      <c r="D46" s="45">
        <v>1.4999999999999999E-2</v>
      </c>
    </row>
    <row r="47" spans="1:4">
      <c r="A47" s="9" t="s">
        <v>46</v>
      </c>
      <c r="B47" s="57">
        <v>0.126</v>
      </c>
      <c r="C47" s="58">
        <v>9.8000000000000004E-2</v>
      </c>
      <c r="D47" s="34">
        <v>9.6999999999999989E-2</v>
      </c>
    </row>
    <row r="48" spans="1:4">
      <c r="A48" s="9" t="s">
        <v>47</v>
      </c>
      <c r="B48" s="57">
        <v>6.8000000000000005E-2</v>
      </c>
      <c r="C48" s="58">
        <v>0.14800000000000002</v>
      </c>
      <c r="D48" s="34">
        <v>0.22600000000000001</v>
      </c>
    </row>
    <row r="49" spans="1:4">
      <c r="A49" s="15" t="s">
        <v>48</v>
      </c>
      <c r="B49" s="59">
        <v>0.90900000000000003</v>
      </c>
      <c r="C49" s="59">
        <v>0.89400000000000002</v>
      </c>
      <c r="D49" s="59">
        <v>0.56299999999999994</v>
      </c>
    </row>
    <row r="50" spans="1:4">
      <c r="A50" s="15" t="s">
        <v>49</v>
      </c>
      <c r="B50" s="59">
        <v>9.0999999999999998E-2</v>
      </c>
      <c r="C50" s="59">
        <v>0.106</v>
      </c>
      <c r="D50" s="59">
        <v>0.35199999999999998</v>
      </c>
    </row>
    <row r="51" spans="1:4">
      <c r="A51" s="16" t="s">
        <v>50</v>
      </c>
      <c r="B51" s="60">
        <v>0.77099999999999991</v>
      </c>
      <c r="C51" s="61">
        <v>0.86099999999999999</v>
      </c>
      <c r="D51" s="61">
        <v>0.66600000000000004</v>
      </c>
    </row>
    <row r="52" spans="1:4">
      <c r="A52" s="16" t="s">
        <v>51</v>
      </c>
      <c r="B52" s="60">
        <v>0.22899999999999998</v>
      </c>
      <c r="C52" s="61">
        <v>0.13900000000000001</v>
      </c>
      <c r="D52" s="61">
        <v>0.20499999999999999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8D040-AD57-4550-9C10-E724B2778100}">
  <sheetPr codeName="Sheet8"/>
  <dimension ref="A1:D7"/>
  <sheetViews>
    <sheetView tabSelected="1" zoomScale="95" workbookViewId="0">
      <selection activeCell="C14" sqref="C14"/>
    </sheetView>
  </sheetViews>
  <sheetFormatPr defaultRowHeight="14.4"/>
  <cols>
    <col min="1" max="1" width="27.109375" bestFit="1" customWidth="1"/>
    <col min="2" max="4" width="11.6640625" bestFit="1" customWidth="1"/>
  </cols>
  <sheetData>
    <row r="1" spans="1:4">
      <c r="A1" s="2" t="s">
        <v>3</v>
      </c>
      <c r="B1" s="1" t="s">
        <v>52</v>
      </c>
      <c r="C1" s="1" t="s">
        <v>52</v>
      </c>
      <c r="D1" s="1" t="s">
        <v>52</v>
      </c>
    </row>
    <row r="2" spans="1:4">
      <c r="A2" s="2" t="s">
        <v>4</v>
      </c>
      <c r="B2" s="2" t="s">
        <v>0</v>
      </c>
      <c r="C2" s="2" t="s">
        <v>1</v>
      </c>
      <c r="D2" s="2" t="s">
        <v>2</v>
      </c>
    </row>
    <row r="3" spans="1:4">
      <c r="A3" s="22" t="str">
        <f>dataset!A29</f>
        <v>OccupiedDwellings(%)</v>
      </c>
      <c r="B3" s="27">
        <f>dataset!B29</f>
        <v>0.96900000000000008</v>
      </c>
      <c r="C3" s="27">
        <f>dataset!C29</f>
        <v>0.9840000000000001</v>
      </c>
      <c r="D3" s="27">
        <f>dataset!D29</f>
        <v>0.97</v>
      </c>
    </row>
    <row r="4" spans="1:4">
      <c r="A4" s="22" t="str">
        <f>dataset!A30</f>
        <v>UnoccupiedDwelling(%)</v>
      </c>
      <c r="B4" s="27">
        <f>dataset!B30</f>
        <v>3.1E-2</v>
      </c>
      <c r="C4" s="27">
        <f>dataset!C30</f>
        <v>1.6E-2</v>
      </c>
      <c r="D4" s="27">
        <f>dataset!D30</f>
        <v>2.7999999999999997E-2</v>
      </c>
    </row>
    <row r="5" spans="1:4">
      <c r="A5" t="str">
        <f>dataset!A31</f>
        <v>SeparateHouse(dwellings%)</v>
      </c>
      <c r="B5" s="51">
        <f>dataset!B31</f>
        <v>1</v>
      </c>
      <c r="C5" s="51">
        <f>dataset!C31</f>
        <v>0.96599999999999997</v>
      </c>
      <c r="D5" s="51">
        <f>dataset!D31</f>
        <v>0.95499999999999996</v>
      </c>
    </row>
    <row r="6" spans="1:4">
      <c r="A6" t="str">
        <f>dataset!A32</f>
        <v>SemiDetached(dwellings%)</v>
      </c>
      <c r="B6" s="51">
        <f>dataset!B32</f>
        <v>0</v>
      </c>
      <c r="C6" s="51">
        <f>dataset!C32</f>
        <v>0.03</v>
      </c>
      <c r="D6" s="51">
        <f>dataset!D32</f>
        <v>3.2000000000000001E-2</v>
      </c>
    </row>
    <row r="7" spans="1:4">
      <c r="A7" t="str">
        <f>dataset!A33</f>
        <v>FlatUnitApartment(dwellings%)</v>
      </c>
      <c r="B7" s="51">
        <f>dataset!B33</f>
        <v>0</v>
      </c>
      <c r="C7" s="51">
        <f>dataset!C33</f>
        <v>0</v>
      </c>
      <c r="D7" s="51">
        <f>dataset!D33</f>
        <v>1.2999999999999999E-2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B3340-ACDD-4E3F-95BA-FF24FE4CED59}">
  <sheetPr codeName="Sheet7"/>
  <dimension ref="A1:D5"/>
  <sheetViews>
    <sheetView workbookViewId="0">
      <selection activeCell="C17" sqref="C17"/>
    </sheetView>
  </sheetViews>
  <sheetFormatPr defaultRowHeight="14.4"/>
  <cols>
    <col min="1" max="1" width="18.33203125" bestFit="1" customWidth="1"/>
    <col min="2" max="4" width="11.6640625" bestFit="1" customWidth="1"/>
  </cols>
  <sheetData>
    <row r="1" spans="1:4">
      <c r="A1" s="2" t="s">
        <v>3</v>
      </c>
      <c r="B1" s="1" t="s">
        <v>52</v>
      </c>
      <c r="C1" s="1" t="s">
        <v>52</v>
      </c>
      <c r="D1" s="1" t="s">
        <v>52</v>
      </c>
    </row>
    <row r="2" spans="1:4">
      <c r="A2" s="2" t="s">
        <v>4</v>
      </c>
      <c r="B2" s="2" t="s">
        <v>0</v>
      </c>
      <c r="C2" s="2" t="s">
        <v>1</v>
      </c>
      <c r="D2" s="2" t="s">
        <v>2</v>
      </c>
    </row>
    <row r="3" spans="1:4">
      <c r="A3" t="str">
        <f>dataset!A19</f>
        <v>Worked full-time(%)</v>
      </c>
      <c r="B3" s="51">
        <f>dataset!B19</f>
        <v>0.63900000000000001</v>
      </c>
      <c r="C3" s="51">
        <f>dataset!C19</f>
        <v>0.622</v>
      </c>
      <c r="D3" s="51">
        <f>dataset!D19</f>
        <v>0.50800000000000001</v>
      </c>
    </row>
    <row r="4" spans="1:4">
      <c r="A4" t="str">
        <f>dataset!A20</f>
        <v>Worked part-time(%)</v>
      </c>
      <c r="B4" s="51">
        <f>dataset!B20</f>
        <v>0.23100000000000001</v>
      </c>
      <c r="C4" s="51">
        <f>dataset!C20</f>
        <v>0.26300000000000001</v>
      </c>
      <c r="D4" s="51">
        <f>dataset!D20</f>
        <v>0.29600000000000004</v>
      </c>
    </row>
    <row r="5" spans="1:4">
      <c r="A5" t="str">
        <f>dataset!A21</f>
        <v>Unemployment(%)</v>
      </c>
      <c r="B5" s="51">
        <f>dataset!B21</f>
        <v>7.400000000000001E-2</v>
      </c>
      <c r="C5" s="51">
        <f>dataset!C21</f>
        <v>6.8000000000000005E-2</v>
      </c>
      <c r="D5" s="51">
        <f>dataset!D21</f>
        <v>0.06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4E14F-867B-477D-9AAF-C352FA54724D}">
  <sheetPr codeName="Sheet9"/>
  <dimension ref="A1:D11"/>
  <sheetViews>
    <sheetView zoomScale="95" workbookViewId="0">
      <selection activeCell="F27" sqref="F27"/>
    </sheetView>
  </sheetViews>
  <sheetFormatPr defaultRowHeight="14.4"/>
  <cols>
    <col min="1" max="1" width="24.88671875" bestFit="1" customWidth="1"/>
    <col min="2" max="4" width="11.6640625" bestFit="1" customWidth="1"/>
  </cols>
  <sheetData>
    <row r="1" spans="1:4">
      <c r="A1" s="2" t="s">
        <v>3</v>
      </c>
      <c r="B1" s="1" t="s">
        <v>52</v>
      </c>
      <c r="C1" s="1" t="s">
        <v>52</v>
      </c>
      <c r="D1" s="1" t="s">
        <v>52</v>
      </c>
    </row>
    <row r="2" spans="1:4">
      <c r="A2" s="2" t="s">
        <v>4</v>
      </c>
      <c r="B2" s="2" t="s">
        <v>0</v>
      </c>
      <c r="C2" s="2" t="s">
        <v>1</v>
      </c>
      <c r="D2" s="2" t="s">
        <v>2</v>
      </c>
    </row>
    <row r="3" spans="1:4">
      <c r="A3" s="22" t="str">
        <f>dataset!A12</f>
        <v>Families</v>
      </c>
      <c r="B3" s="22">
        <f>dataset!B12</f>
        <v>1138</v>
      </c>
      <c r="C3" s="22">
        <f>dataset!C12</f>
        <v>1151</v>
      </c>
      <c r="D3" s="22">
        <f>dataset!D12</f>
        <v>1173</v>
      </c>
    </row>
    <row r="4" spans="1:4">
      <c r="A4" t="str">
        <f>dataset!A6</f>
        <v>MedianFamilyWeeklyIncome</v>
      </c>
      <c r="B4">
        <f>dataset!B6</f>
        <v>1495</v>
      </c>
      <c r="C4">
        <f>dataset!C6</f>
        <v>1727</v>
      </c>
      <c r="D4">
        <f>dataset!D6</f>
        <v>2051</v>
      </c>
    </row>
    <row r="5" spans="1:4">
      <c r="A5" t="str">
        <f>dataset!A25</f>
        <v>CoupleFamilyNoChildren(%)</v>
      </c>
      <c r="B5" s="51">
        <f>dataset!B25</f>
        <v>0.17499999999999999</v>
      </c>
      <c r="C5" s="51">
        <f>dataset!C25</f>
        <v>0.182</v>
      </c>
      <c r="D5" s="51">
        <f>dataset!D25</f>
        <v>0.22500000000000001</v>
      </c>
    </row>
    <row r="6" spans="1:4">
      <c r="A6" t="str">
        <f>dataset!A26</f>
        <v>CoupleFamilyHasChildren(%)</v>
      </c>
      <c r="B6" s="51">
        <f>dataset!B26</f>
        <v>0.64800000000000002</v>
      </c>
      <c r="C6" s="51">
        <f>dataset!C26</f>
        <v>0.621</v>
      </c>
      <c r="D6" s="51">
        <f>dataset!D26</f>
        <v>0.56999999999999995</v>
      </c>
    </row>
    <row r="7" spans="1:4">
      <c r="A7" t="str">
        <f>dataset!A27</f>
        <v>OneParentFamily(%)</v>
      </c>
      <c r="B7" s="51">
        <f>dataset!B27</f>
        <v>0.17</v>
      </c>
      <c r="C7" s="51">
        <f>dataset!C27</f>
        <v>0.18100000000000002</v>
      </c>
      <c r="D7" s="51">
        <f>dataset!D27</f>
        <v>0.188</v>
      </c>
    </row>
    <row r="8" spans="1:4">
      <c r="A8" t="str">
        <f>dataset!A28</f>
        <v>OtherFamily(%)</v>
      </c>
      <c r="B8" s="51">
        <f>dataset!B28</f>
        <v>7.0000000000000001E-3</v>
      </c>
      <c r="C8" s="51">
        <f>dataset!C28</f>
        <v>1.7000000000000001E-2</v>
      </c>
      <c r="D8" s="51">
        <f>dataset!D28</f>
        <v>1.2E-2</v>
      </c>
    </row>
    <row r="9" spans="1:4">
      <c r="B9" s="51"/>
      <c r="C9" s="51"/>
      <c r="D9" s="51"/>
    </row>
    <row r="10" spans="1:4">
      <c r="B10" s="51"/>
      <c r="C10" s="51"/>
      <c r="D10" s="51"/>
    </row>
    <row r="11" spans="1:4">
      <c r="B11" s="51"/>
      <c r="C11" s="51"/>
      <c r="D11" s="5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D834D-B9E2-4341-9A03-7EA0FE25B973}">
  <sheetPr codeName="Sheet6"/>
  <dimension ref="A1:D8"/>
  <sheetViews>
    <sheetView zoomScale="85" workbookViewId="0">
      <selection activeCell="V28" sqref="V28"/>
    </sheetView>
  </sheetViews>
  <sheetFormatPr defaultRowHeight="14.4"/>
  <cols>
    <col min="1" max="1" width="25.109375" bestFit="1" customWidth="1"/>
    <col min="2" max="4" width="11.6640625" bestFit="1" customWidth="1"/>
  </cols>
  <sheetData>
    <row r="1" spans="1:4">
      <c r="A1" s="2" t="s">
        <v>3</v>
      </c>
      <c r="B1" s="1" t="s">
        <v>52</v>
      </c>
      <c r="C1" s="1" t="s">
        <v>52</v>
      </c>
      <c r="D1" s="1" t="s">
        <v>52</v>
      </c>
    </row>
    <row r="2" spans="1:4">
      <c r="A2" s="2" t="s">
        <v>4</v>
      </c>
      <c r="B2" s="2" t="s">
        <v>0</v>
      </c>
      <c r="C2" s="2" t="s">
        <v>1</v>
      </c>
      <c r="D2" s="2" t="s">
        <v>2</v>
      </c>
    </row>
    <row r="3" spans="1:4">
      <c r="A3" t="str">
        <f>dataset!A44</f>
        <v>FamilyHouseHolds(%)</v>
      </c>
      <c r="B3" s="51">
        <f>dataset!B44</f>
        <v>0.90500000000000003</v>
      </c>
      <c r="C3" s="51">
        <f>dataset!C44</f>
        <v>0.88700000000000001</v>
      </c>
      <c r="D3" s="51">
        <f>dataset!D44</f>
        <v>0.872</v>
      </c>
    </row>
    <row r="4" spans="1:4">
      <c r="A4" t="str">
        <f>dataset!A45</f>
        <v>SinglePersonHouseHolds(%)</v>
      </c>
      <c r="B4" s="51">
        <f>dataset!B45</f>
        <v>8.5000000000000006E-2</v>
      </c>
      <c r="C4" s="51">
        <f>dataset!C45</f>
        <v>0.106</v>
      </c>
      <c r="D4" s="51">
        <f>dataset!D45</f>
        <v>0.113</v>
      </c>
    </row>
    <row r="5" spans="1:4">
      <c r="A5" t="str">
        <f>dataset!A46</f>
        <v>GroupHouseHold(%)</v>
      </c>
      <c r="B5" s="51">
        <f>dataset!B46</f>
        <v>0.01</v>
      </c>
      <c r="C5" s="51">
        <f>dataset!C46</f>
        <v>7.0000000000000001E-3</v>
      </c>
      <c r="D5" s="51">
        <f>dataset!D46</f>
        <v>1.4999999999999999E-2</v>
      </c>
    </row>
    <row r="6" spans="1:4">
      <c r="A6" t="str">
        <f>dataset!A41</f>
        <v>FullyOwned(%)</v>
      </c>
      <c r="B6" s="51">
        <f>dataset!B41</f>
        <v>0.14499999999999999</v>
      </c>
      <c r="C6" s="51">
        <f>dataset!C41</f>
        <v>0.17899999999999999</v>
      </c>
      <c r="D6" s="51">
        <f>dataset!D41</f>
        <v>0.19699999999999998</v>
      </c>
    </row>
    <row r="7" spans="1:4">
      <c r="A7" t="str">
        <f>dataset!A42</f>
        <v>OwnedWithMortgage(%)</v>
      </c>
      <c r="B7" s="51">
        <f>dataset!B42</f>
        <v>0.61499999999999999</v>
      </c>
      <c r="C7" s="51">
        <f>dataset!C42</f>
        <v>0.53799999999999992</v>
      </c>
      <c r="D7" s="51">
        <f>dataset!D42</f>
        <v>0.49099999999999999</v>
      </c>
    </row>
    <row r="8" spans="1:4">
      <c r="A8" t="str">
        <f>dataset!A43</f>
        <v>Rented(%)</v>
      </c>
      <c r="B8" s="51">
        <f>dataset!B43</f>
        <v>0.21100000000000002</v>
      </c>
      <c r="C8" s="51">
        <f>dataset!C43</f>
        <v>0.26500000000000001</v>
      </c>
      <c r="D8" s="51">
        <f>dataset!D43</f>
        <v>0.28999999999999998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7A57A-1DC0-4532-8839-19C611F6C6FD}">
  <sheetPr codeName="Sheet2"/>
  <dimension ref="A1:D20"/>
  <sheetViews>
    <sheetView zoomScale="92" workbookViewId="0">
      <selection activeCell="S25" sqref="S25"/>
    </sheetView>
  </sheetViews>
  <sheetFormatPr defaultRowHeight="14.4"/>
  <cols>
    <col min="1" max="1" width="31.5546875" bestFit="1" customWidth="1"/>
    <col min="2" max="4" width="14.5546875" bestFit="1" customWidth="1"/>
  </cols>
  <sheetData>
    <row r="1" spans="1:4">
      <c r="A1" s="2" t="s">
        <v>3</v>
      </c>
      <c r="B1" s="1" t="s">
        <v>52</v>
      </c>
      <c r="C1" s="1" t="s">
        <v>52</v>
      </c>
      <c r="D1" s="1" t="s">
        <v>52</v>
      </c>
    </row>
    <row r="2" spans="1:4">
      <c r="A2" s="2" t="s">
        <v>4</v>
      </c>
      <c r="B2" s="2" t="s">
        <v>0</v>
      </c>
      <c r="C2" s="2" t="s">
        <v>1</v>
      </c>
      <c r="D2" s="2" t="s">
        <v>2</v>
      </c>
    </row>
    <row r="3" spans="1:4">
      <c r="A3" s="22" t="str">
        <f>dataset!A13</f>
        <v>TotalPrivateDwelling (TPD)</v>
      </c>
      <c r="B3" s="22">
        <f>dataset!B13</f>
        <v>1266</v>
      </c>
      <c r="C3" s="22">
        <f>dataset!C13</f>
        <v>1295</v>
      </c>
      <c r="D3" s="22">
        <f>dataset!D13</f>
        <v>1349</v>
      </c>
    </row>
    <row r="4" spans="1:4">
      <c r="A4" s="22" t="str">
        <f>dataset!A10</f>
        <v>Population</v>
      </c>
      <c r="B4" s="22">
        <f>dataset!B10</f>
        <v>4396</v>
      </c>
      <c r="C4" s="22">
        <f>dataset!C10</f>
        <v>4505</v>
      </c>
      <c r="D4" s="22">
        <f>dataset!D10</f>
        <v>4401</v>
      </c>
    </row>
    <row r="5" spans="1:4" hidden="1">
      <c r="A5" t="str">
        <f>dataset!A40</f>
        <v>AverageNumberPeoplePerHousehold</v>
      </c>
      <c r="B5" s="52">
        <f>dataset!B40</f>
        <v>3.6</v>
      </c>
      <c r="C5" s="52">
        <f>dataset!C40</f>
        <v>3.5</v>
      </c>
      <c r="D5" s="52">
        <f>dataset!D40</f>
        <v>3.3</v>
      </c>
    </row>
    <row r="6" spans="1:4">
      <c r="A6" s="23" t="s">
        <v>53</v>
      </c>
      <c r="B6" s="24">
        <f>B4/B5</f>
        <v>1221.1111111111111</v>
      </c>
      <c r="C6" s="24">
        <f>C4/C5</f>
        <v>1287.1428571428571</v>
      </c>
      <c r="D6" s="24">
        <f>D4/D5</f>
        <v>1333.6363636363637</v>
      </c>
    </row>
    <row r="7" spans="1:4">
      <c r="A7" s="23" t="s">
        <v>54</v>
      </c>
      <c r="B7" s="24">
        <f>B3/B6</f>
        <v>1.0367606915377616</v>
      </c>
      <c r="C7" s="24">
        <f>C3/C6</f>
        <v>1.0061043285238624</v>
      </c>
      <c r="D7" s="24">
        <f>D3/D6</f>
        <v>1.0115201090661212</v>
      </c>
    </row>
    <row r="12" spans="1:4">
      <c r="A12" s="53"/>
    </row>
    <row r="13" spans="1:4">
      <c r="A13" s="53"/>
    </row>
    <row r="14" spans="1:4">
      <c r="A14" s="53"/>
    </row>
    <row r="15" spans="1:4">
      <c r="A15" s="53"/>
    </row>
    <row r="20" spans="4:4">
      <c r="D20" t="s">
        <v>56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314C1-2EFB-4F2B-B21B-1461949DDABA}">
  <sheetPr codeName="Sheet5"/>
  <dimension ref="A1:D15"/>
  <sheetViews>
    <sheetView workbookViewId="0">
      <selection activeCell="A11" sqref="A11"/>
    </sheetView>
  </sheetViews>
  <sheetFormatPr defaultRowHeight="14.4"/>
  <cols>
    <col min="1" max="1" width="20.21875" bestFit="1" customWidth="1"/>
    <col min="2" max="4" width="11.6640625" bestFit="1" customWidth="1"/>
  </cols>
  <sheetData>
    <row r="1" spans="1:4">
      <c r="A1" s="2" t="s">
        <v>3</v>
      </c>
      <c r="B1" s="1" t="s">
        <v>52</v>
      </c>
      <c r="C1" s="1" t="s">
        <v>52</v>
      </c>
      <c r="D1" s="1" t="s">
        <v>52</v>
      </c>
    </row>
    <row r="2" spans="1:4">
      <c r="A2" s="2" t="s">
        <v>4</v>
      </c>
      <c r="B2" s="2" t="s">
        <v>0</v>
      </c>
      <c r="C2" s="2" t="s">
        <v>1</v>
      </c>
      <c r="D2" s="2" t="s">
        <v>2</v>
      </c>
    </row>
    <row r="3" spans="1:4">
      <c r="A3" s="22" t="str">
        <f>dataset!A10</f>
        <v>Population</v>
      </c>
      <c r="B3" s="48">
        <f>dataset!B10</f>
        <v>4396</v>
      </c>
      <c r="C3" s="48">
        <f>dataset!C10</f>
        <v>4505</v>
      </c>
      <c r="D3" s="48">
        <f>dataset!D10</f>
        <v>4401</v>
      </c>
    </row>
    <row r="4" spans="1:4" hidden="1">
      <c r="A4" s="22" t="str">
        <f>dataset!A11</f>
        <v>MedianAge</v>
      </c>
      <c r="B4" s="22">
        <f>dataset!B11</f>
        <v>28</v>
      </c>
      <c r="C4" s="22">
        <f>dataset!C11</f>
        <v>30</v>
      </c>
      <c r="D4" s="22">
        <f>dataset!D11</f>
        <v>32</v>
      </c>
    </row>
    <row r="5" spans="1:4" hidden="1">
      <c r="A5" t="str">
        <f>dataset!A18</f>
        <v>BirthInAustralia(%)</v>
      </c>
      <c r="B5" s="51">
        <f>dataset!B18</f>
        <v>0.59200000000000008</v>
      </c>
      <c r="C5" s="51">
        <f>dataset!C18</f>
        <v>0.58399999999999996</v>
      </c>
      <c r="D5" s="51">
        <f>dataset!D18</f>
        <v>0.57499999999999996</v>
      </c>
    </row>
    <row r="6" spans="1:4">
      <c r="A6" t="str">
        <f>dataset!A14</f>
        <v>Married(%)</v>
      </c>
      <c r="B6" s="51">
        <f>dataset!B14</f>
        <v>0.53700000000000003</v>
      </c>
      <c r="C6" s="51">
        <f>dataset!C14</f>
        <v>0.48799999999999999</v>
      </c>
      <c r="D6" s="51">
        <f>dataset!D14</f>
        <v>0.49099999999999999</v>
      </c>
    </row>
    <row r="7" spans="1:4">
      <c r="A7" t="str">
        <f>dataset!A15</f>
        <v>Separated+Divorced(%)</v>
      </c>
      <c r="B7" s="51">
        <f>dataset!B15</f>
        <v>8.5000000000000006E-2</v>
      </c>
      <c r="C7" s="51">
        <f>dataset!C15</f>
        <v>9.0999999999999998E-2</v>
      </c>
      <c r="D7" s="51">
        <f>dataset!D15</f>
        <v>9.5000000000000001E-2</v>
      </c>
    </row>
    <row r="8" spans="1:4">
      <c r="A8" t="str">
        <f>dataset!A16</f>
        <v>Widowed(%)</v>
      </c>
      <c r="B8" s="51">
        <f>dataset!B16</f>
        <v>2.5999999999999999E-2</v>
      </c>
      <c r="C8" s="51">
        <f>dataset!C16</f>
        <v>2.7000000000000003E-2</v>
      </c>
      <c r="D8" s="51">
        <f>dataset!D16</f>
        <v>2.7E-2</v>
      </c>
    </row>
    <row r="9" spans="1:4">
      <c r="A9" t="str">
        <f>dataset!A17</f>
        <v>NeverMarried(%)</v>
      </c>
      <c r="B9" s="51">
        <f>dataset!B17</f>
        <v>0.35200000000000004</v>
      </c>
      <c r="C9" s="51">
        <f>dataset!C17</f>
        <v>0.39399999999999996</v>
      </c>
      <c r="D9" s="51">
        <f>dataset!D17</f>
        <v>0.38700000000000001</v>
      </c>
    </row>
    <row r="15" spans="1:4">
      <c r="B15" s="27"/>
      <c r="C15" s="27"/>
      <c r="D15" s="27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28241-0DA8-4DDE-BC3B-34CE37F1A4BC}">
  <sheetPr codeName="Sheet4"/>
  <dimension ref="A1:H22"/>
  <sheetViews>
    <sheetView workbookViewId="0">
      <selection activeCell="A18" sqref="A18"/>
    </sheetView>
  </sheetViews>
  <sheetFormatPr defaultRowHeight="14.4"/>
  <cols>
    <col min="1" max="1" width="42.33203125" bestFit="1" customWidth="1"/>
    <col min="2" max="4" width="11.6640625" bestFit="1" customWidth="1"/>
    <col min="6" max="8" width="5.6640625" bestFit="1" customWidth="1"/>
  </cols>
  <sheetData>
    <row r="1" spans="1:8">
      <c r="A1" s="2" t="s">
        <v>3</v>
      </c>
      <c r="B1" s="1" t="s">
        <v>52</v>
      </c>
      <c r="C1" s="1" t="s">
        <v>52</v>
      </c>
      <c r="D1" s="1" t="s">
        <v>52</v>
      </c>
    </row>
    <row r="2" spans="1:8">
      <c r="A2" s="2" t="s">
        <v>4</v>
      </c>
      <c r="B2" s="2" t="s">
        <v>0</v>
      </c>
      <c r="C2" s="2" t="s">
        <v>1</v>
      </c>
      <c r="D2" s="2" t="s">
        <v>2</v>
      </c>
    </row>
    <row r="3" spans="1:8">
      <c r="A3" s="17" t="str">
        <f>dataset!A7</f>
        <v>MedianHouseholdWeeIklyIncome</v>
      </c>
      <c r="B3" s="82">
        <f>dataset!B7</f>
        <v>1498</v>
      </c>
      <c r="C3" s="82">
        <f>dataset!C7</f>
        <v>1718</v>
      </c>
      <c r="D3" s="82">
        <f>dataset!D7</f>
        <v>2018</v>
      </c>
    </row>
    <row r="4" spans="1:8" hidden="1">
      <c r="A4" s="81" t="str">
        <f>dataset!A8</f>
        <v>MedianMortgageWeeklyPayment</v>
      </c>
      <c r="B4" s="83">
        <f>dataset!B8</f>
        <v>460.2991944764097</v>
      </c>
      <c r="C4" s="83">
        <f>dataset!C8</f>
        <v>448.79171461449943</v>
      </c>
      <c r="D4" s="83">
        <f>dataset!D8</f>
        <v>460.2991944764097</v>
      </c>
    </row>
    <row r="5" spans="1:8" hidden="1">
      <c r="A5" s="81" t="str">
        <f>dataset!A9</f>
        <v>MedianWeeklyRent</v>
      </c>
      <c r="B5" s="82">
        <f>dataset!B9</f>
        <v>350</v>
      </c>
      <c r="C5" s="82">
        <f>dataset!C9</f>
        <v>400</v>
      </c>
      <c r="D5" s="82">
        <f>dataset!D9</f>
        <v>410</v>
      </c>
    </row>
    <row r="6" spans="1:8" hidden="1">
      <c r="A6" t="str">
        <f>dataset!A47</f>
        <v>LessThan$650WeeklyIncome(%)</v>
      </c>
      <c r="B6" s="84">
        <f>dataset!B47</f>
        <v>0.126</v>
      </c>
      <c r="C6" s="84">
        <f>dataset!C47</f>
        <v>9.8000000000000004E-2</v>
      </c>
      <c r="D6" s="84">
        <f>dataset!D47</f>
        <v>9.6999999999999989E-2</v>
      </c>
      <c r="F6" s="24"/>
      <c r="G6" s="24"/>
      <c r="H6" s="24"/>
    </row>
    <row r="7" spans="1:8">
      <c r="A7" t="str">
        <f>dataset!A48</f>
        <v>MoreThan$3000WeeklyIncome(%)</v>
      </c>
      <c r="B7" s="84">
        <f>dataset!B48</f>
        <v>6.8000000000000005E-2</v>
      </c>
      <c r="C7" s="84">
        <f>dataset!C48</f>
        <v>0.14800000000000002</v>
      </c>
      <c r="D7" s="84">
        <f>dataset!D48</f>
        <v>0.22600000000000001</v>
      </c>
      <c r="F7" s="24"/>
      <c r="G7" s="24"/>
      <c r="H7" s="24"/>
    </row>
    <row r="8" spans="1:8" hidden="1">
      <c r="A8" t="str">
        <f>dataset!A49</f>
        <v>HouseholdsRentPayments&lt;30%Income (%)</v>
      </c>
      <c r="B8" s="84">
        <f>dataset!B49</f>
        <v>0.90900000000000003</v>
      </c>
      <c r="C8" s="84">
        <f>dataset!C49</f>
        <v>0.89400000000000002</v>
      </c>
      <c r="D8" s="84">
        <f>dataset!D49</f>
        <v>0.56299999999999994</v>
      </c>
      <c r="F8" s="24"/>
      <c r="G8" s="24"/>
      <c r="H8" s="24"/>
    </row>
    <row r="9" spans="1:8">
      <c r="A9" t="str">
        <f>dataset!A50</f>
        <v>HouseholdsRentPayments&gt;30%Income(%)</v>
      </c>
      <c r="B9" s="84">
        <f>dataset!B50</f>
        <v>9.0999999999999998E-2</v>
      </c>
      <c r="C9" s="84">
        <f>dataset!C50</f>
        <v>0.106</v>
      </c>
      <c r="D9" s="84">
        <f>dataset!D50</f>
        <v>0.35199999999999998</v>
      </c>
      <c r="F9" s="24"/>
      <c r="G9" s="24"/>
      <c r="H9" s="24"/>
    </row>
    <row r="10" spans="1:8">
      <c r="A10" t="str">
        <f>dataset!A51</f>
        <v>HouseholdsMortgageRepayments&lt;30%Income(%)</v>
      </c>
      <c r="B10" s="84">
        <f>dataset!B51</f>
        <v>0.77099999999999991</v>
      </c>
      <c r="C10" s="84">
        <f>dataset!C51</f>
        <v>0.86099999999999999</v>
      </c>
      <c r="D10" s="84">
        <f>dataset!D51</f>
        <v>0.66600000000000004</v>
      </c>
      <c r="F10" s="24"/>
      <c r="G10" s="24"/>
      <c r="H10" s="24"/>
    </row>
    <row r="11" spans="1:8" hidden="1">
      <c r="A11" t="str">
        <f>dataset!A52</f>
        <v>HouseholdsMortgageRepayments&gt;30%Income(%)</v>
      </c>
      <c r="B11" s="84">
        <f>dataset!B52</f>
        <v>0.22899999999999998</v>
      </c>
      <c r="C11" s="84">
        <f>dataset!C52</f>
        <v>0.13900000000000001</v>
      </c>
      <c r="D11" s="84">
        <f>dataset!D52</f>
        <v>0.20499999999999999</v>
      </c>
      <c r="F11" s="24"/>
      <c r="G11" s="24"/>
      <c r="H11" s="24"/>
    </row>
    <row r="12" spans="1:8">
      <c r="A12" t="s">
        <v>60</v>
      </c>
      <c r="B12" s="24">
        <f>B3-(B4+B5)</f>
        <v>687.70080552359036</v>
      </c>
      <c r="C12" s="24">
        <f t="shared" ref="C12:D12" si="0">C3-(C4+C5)</f>
        <v>869.20828538550063</v>
      </c>
      <c r="D12" s="24">
        <f t="shared" si="0"/>
        <v>1147.7008055235904</v>
      </c>
    </row>
    <row r="14" spans="1:8">
      <c r="A14" s="23"/>
      <c r="B14" s="23"/>
      <c r="C14" s="23"/>
      <c r="D14" s="23"/>
    </row>
    <row r="15" spans="1:8">
      <c r="A15" s="23"/>
      <c r="B15" s="23"/>
      <c r="C15" s="23"/>
      <c r="D15" s="23"/>
    </row>
    <row r="16" spans="1:8">
      <c r="B16" s="24"/>
      <c r="C16" s="24"/>
      <c r="D16" s="24"/>
    </row>
    <row r="17" spans="2:4">
      <c r="B17" s="24"/>
      <c r="C17" s="24"/>
      <c r="D17" s="24"/>
    </row>
    <row r="18" spans="2:4">
      <c r="B18" s="24"/>
      <c r="C18" s="24"/>
      <c r="D18" s="24"/>
    </row>
    <row r="19" spans="2:4">
      <c r="B19" s="24"/>
      <c r="C19" s="24"/>
      <c r="D19" s="24"/>
    </row>
    <row r="20" spans="2:4">
      <c r="B20" s="24"/>
      <c r="C20" s="24"/>
      <c r="D20" s="24"/>
    </row>
    <row r="21" spans="2:4">
      <c r="B21" s="24"/>
      <c r="C21" s="24"/>
      <c r="D21" s="24"/>
    </row>
    <row r="22" spans="2:4">
      <c r="B22" s="24"/>
      <c r="C22" s="24"/>
      <c r="D22" s="24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C7AA3-7B6C-44E9-82B8-A5D5A926E75F}">
  <sheetPr codeName="Sheet3"/>
  <dimension ref="A1:D10"/>
  <sheetViews>
    <sheetView zoomScaleNormal="100" workbookViewId="0">
      <selection activeCell="T26" sqref="T26"/>
    </sheetView>
  </sheetViews>
  <sheetFormatPr defaultRowHeight="14.4"/>
  <cols>
    <col min="1" max="1" width="29.77734375" bestFit="1" customWidth="1"/>
    <col min="2" max="4" width="11.6640625" bestFit="1" customWidth="1"/>
  </cols>
  <sheetData>
    <row r="1" spans="1:4">
      <c r="A1" s="2" t="s">
        <v>3</v>
      </c>
      <c r="B1" s="1" t="s">
        <v>52</v>
      </c>
      <c r="C1" s="1" t="s">
        <v>52</v>
      </c>
      <c r="D1" s="1" t="s">
        <v>52</v>
      </c>
    </row>
    <row r="2" spans="1:4">
      <c r="A2" s="2" t="s">
        <v>4</v>
      </c>
      <c r="B2" s="2" t="s">
        <v>0</v>
      </c>
      <c r="C2" s="2" t="s">
        <v>1</v>
      </c>
      <c r="D2" s="2" t="s">
        <v>2</v>
      </c>
    </row>
    <row r="3" spans="1:4" hidden="1">
      <c r="A3" t="str">
        <f>dataset!A7</f>
        <v>MedianHouseholdWeeIklyIncome</v>
      </c>
      <c r="B3">
        <f>dataset!B7</f>
        <v>1498</v>
      </c>
      <c r="C3">
        <f>dataset!C7</f>
        <v>1718</v>
      </c>
      <c r="D3">
        <f>dataset!D7</f>
        <v>2018</v>
      </c>
    </row>
    <row r="4" spans="1:4">
      <c r="A4" t="str">
        <f>dataset!A3</f>
        <v>MedianHousePrice</v>
      </c>
      <c r="B4">
        <f>dataset!B3</f>
        <v>350000</v>
      </c>
      <c r="C4">
        <f>dataset!C3</f>
        <v>595000</v>
      </c>
      <c r="D4">
        <f>dataset!D3</f>
        <v>740000</v>
      </c>
    </row>
    <row r="5" spans="1:4">
      <c r="A5" s="23" t="s">
        <v>63</v>
      </c>
      <c r="B5" s="24">
        <f>B4/(B3*52.143)</f>
        <v>4.4808480488864104</v>
      </c>
      <c r="C5" s="24">
        <f t="shared" ref="C5:D5" si="0">C4/(C3*52.143)</f>
        <v>6.6419834931863404</v>
      </c>
      <c r="D5" s="24">
        <f t="shared" si="0"/>
        <v>7.0325777702839636</v>
      </c>
    </row>
    <row r="6" spans="1:4" hidden="1">
      <c r="A6" t="s">
        <v>59</v>
      </c>
      <c r="B6" s="24">
        <f>B3*52.143</f>
        <v>78110.214000000007</v>
      </c>
      <c r="C6" s="24">
        <f t="shared" ref="C6:D6" si="1">C3*52.143</f>
        <v>89581.673999999999</v>
      </c>
      <c r="D6" s="24">
        <f t="shared" si="1"/>
        <v>105224.57400000001</v>
      </c>
    </row>
    <row r="7" spans="1:4" hidden="1">
      <c r="A7" t="s">
        <v>61</v>
      </c>
      <c r="B7" s="48">
        <f>dataset!B6*52.143</f>
        <v>77953.785000000003</v>
      </c>
      <c r="C7" s="48">
        <f>dataset!C6*52.143</f>
        <v>90050.960999999996</v>
      </c>
      <c r="D7" s="48">
        <f>dataset!D6*52.143</f>
        <v>106945.29300000001</v>
      </c>
    </row>
    <row r="8" spans="1:4" hidden="1">
      <c r="A8" t="s">
        <v>62</v>
      </c>
      <c r="B8" s="24">
        <f>dataset!B5*52.143</f>
        <v>31442.228999999999</v>
      </c>
      <c r="C8" s="24">
        <f>dataset!C5*52.143</f>
        <v>35457.24</v>
      </c>
      <c r="D8" s="24">
        <f>dataset!D5*52.143</f>
        <v>41036.540999999997</v>
      </c>
    </row>
    <row r="9" spans="1:4">
      <c r="A9" s="23" t="s">
        <v>64</v>
      </c>
      <c r="B9" s="24">
        <f>B4/B7</f>
        <v>4.4898397172119351</v>
      </c>
      <c r="C9" s="24">
        <f t="shared" ref="C9:D9" si="2">C4/C7</f>
        <v>6.6073697980857755</v>
      </c>
      <c r="D9" s="24">
        <f t="shared" si="2"/>
        <v>6.9194256169834416</v>
      </c>
    </row>
    <row r="10" spans="1:4">
      <c r="A10" s="23" t="s">
        <v>65</v>
      </c>
      <c r="B10" s="24">
        <f>B4/B8</f>
        <v>11.131526330401067</v>
      </c>
      <c r="C10" s="24">
        <f t="shared" ref="C10:D10" si="3">C4/C8</f>
        <v>16.780775943079608</v>
      </c>
      <c r="D10" s="24">
        <f t="shared" si="3"/>
        <v>18.032708945912375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3f28f4c-1e3d-431a-898d-1dab18d2f25b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76AE0B5F033494B92506C89C30F3559" ma:contentTypeVersion="16" ma:contentTypeDescription="Create a new document." ma:contentTypeScope="" ma:versionID="a40d5e6cfdb695ba287364d3017e46f8">
  <xsd:schema xmlns:xsd="http://www.w3.org/2001/XMLSchema" xmlns:xs="http://www.w3.org/2001/XMLSchema" xmlns:p="http://schemas.microsoft.com/office/2006/metadata/properties" xmlns:ns3="83f28f4c-1e3d-431a-898d-1dab18d2f25b" xmlns:ns4="5cf8a5a8-0301-4954-884c-1f222cf09767" targetNamespace="http://schemas.microsoft.com/office/2006/metadata/properties" ma:root="true" ma:fieldsID="f2c631b239c993babd82aed850759c52" ns3:_="" ns4:_="">
    <xsd:import namespace="83f28f4c-1e3d-431a-898d-1dab18d2f25b"/>
    <xsd:import namespace="5cf8a5a8-0301-4954-884c-1f222cf0976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3f28f4c-1e3d-431a-898d-1dab18d2f25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activity" ma:index="23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cf8a5a8-0301-4954-884c-1f222cf0976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DB9CEB3-FC90-44EC-80AF-BB07868BFE85}">
  <ds:schemaRefs>
    <ds:schemaRef ds:uri="http://schemas.microsoft.com/office/2006/documentManagement/types"/>
    <ds:schemaRef ds:uri="http://purl.org/dc/dcmitype/"/>
    <ds:schemaRef ds:uri="http://purl.org/dc/elements/1.1/"/>
    <ds:schemaRef ds:uri="http://schemas.microsoft.com/office/2006/metadata/properties"/>
    <ds:schemaRef ds:uri="83f28f4c-1e3d-431a-898d-1dab18d2f25b"/>
    <ds:schemaRef ds:uri="http://purl.org/dc/terms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5cf8a5a8-0301-4954-884c-1f222cf09767"/>
  </ds:schemaRefs>
</ds:datastoreItem>
</file>

<file path=customXml/itemProps2.xml><?xml version="1.0" encoding="utf-8"?>
<ds:datastoreItem xmlns:ds="http://schemas.openxmlformats.org/officeDocument/2006/customXml" ds:itemID="{580F2650-F503-4031-B2F9-1382F1120FF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3f28f4c-1e3d-431a-898d-1dab18d2f25b"/>
    <ds:schemaRef ds:uri="5cf8a5a8-0301-4954-884c-1f222cf097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68D47DF-EEE1-45F4-A4A7-5D177C0760F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dataset</vt:lpstr>
      <vt:lpstr>Dwelling</vt:lpstr>
      <vt:lpstr>Workforce</vt:lpstr>
      <vt:lpstr>Family</vt:lpstr>
      <vt:lpstr>Ownership</vt:lpstr>
      <vt:lpstr>Demand-Supply</vt:lpstr>
      <vt:lpstr>Population</vt:lpstr>
      <vt:lpstr>Finance</vt:lpstr>
      <vt:lpstr>Affordability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268</dc:creator>
  <cp:lastModifiedBy>Aryan Bansal</cp:lastModifiedBy>
  <dcterms:created xsi:type="dcterms:W3CDTF">2023-07-03T07:16:32Z</dcterms:created>
  <dcterms:modified xsi:type="dcterms:W3CDTF">2024-09-06T03:13:21Z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1a6c3db-1667-4f49-995a-8b9973972958_Enabled">
    <vt:lpwstr>true</vt:lpwstr>
  </property>
  <property fmtid="{D5CDD505-2E9C-101B-9397-08002B2CF9AE}" pid="3" name="MSIP_Label_51a6c3db-1667-4f49-995a-8b9973972958_SetDate">
    <vt:lpwstr>2023-08-09T08:06:55Z</vt:lpwstr>
  </property>
  <property fmtid="{D5CDD505-2E9C-101B-9397-08002B2CF9AE}" pid="4" name="MSIP_Label_51a6c3db-1667-4f49-995a-8b9973972958_Method">
    <vt:lpwstr>Standard</vt:lpwstr>
  </property>
  <property fmtid="{D5CDD505-2E9C-101B-9397-08002B2CF9AE}" pid="5" name="MSIP_Label_51a6c3db-1667-4f49-995a-8b9973972958_Name">
    <vt:lpwstr>UTS-Internal</vt:lpwstr>
  </property>
  <property fmtid="{D5CDD505-2E9C-101B-9397-08002B2CF9AE}" pid="6" name="MSIP_Label_51a6c3db-1667-4f49-995a-8b9973972958_SiteId">
    <vt:lpwstr>e8911c26-cf9f-4a9c-878e-527807be8791</vt:lpwstr>
  </property>
  <property fmtid="{D5CDD505-2E9C-101B-9397-08002B2CF9AE}" pid="7" name="MSIP_Label_51a6c3db-1667-4f49-995a-8b9973972958_ActionId">
    <vt:lpwstr>13e4c90f-55b0-44e0-ab25-c23707ffae53</vt:lpwstr>
  </property>
  <property fmtid="{D5CDD505-2E9C-101B-9397-08002B2CF9AE}" pid="8" name="MSIP_Label_51a6c3db-1667-4f49-995a-8b9973972958_ContentBits">
    <vt:lpwstr>0</vt:lpwstr>
  </property>
  <property fmtid="{D5CDD505-2E9C-101B-9397-08002B2CF9AE}" pid="9" name="ContentTypeId">
    <vt:lpwstr>0x010100376AE0B5F033494B92506C89C30F3559</vt:lpwstr>
  </property>
</Properties>
</file>